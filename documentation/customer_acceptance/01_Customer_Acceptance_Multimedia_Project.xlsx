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etunjuk &amp; Identitas" sheetId="1" state="visible" r:id="rId2"/>
    <sheet name="Customer Acceptance" sheetId="2" state="visible" r:id="rId3"/>
    <sheet name="Feedback Customer" sheetId="3" state="visible" r:id="rId4"/>
    <sheet name="Sign-Off" sheetId="4" state="visible" r:id="rId5"/>
    <sheet name="Referensi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<sst xmlns="http://schemas.openxmlformats.org/spreadsheetml/2006/main" count="407" uniqueCount="320">
  <si>
    <t xml:space="preserve">CUSTOMER ACCEPTANCE TEST (CAT/UAT) — MULTIMEDIA PROJECT</t>
  </si>
  <si>
    <t xml:space="preserve">Identitas responden, hasil uji, respons customer, feedback, dan persetujuan akhir.</t>
  </si>
  <si>
    <t xml:space="preserve">PETUNJUK PENGISIAN</t>
  </si>
  <si>
    <t xml:space="preserve">1</t>
  </si>
  <si>
    <t xml:space="preserve">Fasilitator mendemonstrasikan test sesuai kolom 'Skenario/Test yang Dilakukan'.</t>
  </si>
  <si>
    <t xml:space="preserve">2</t>
  </si>
  <si>
    <t xml:space="preserve">Customer memberi respons bebas, nilai 1–5, status acceptance, catatan, dan bukti bila diperlukan.</t>
  </si>
  <si>
    <t xml:space="preserve">3</t>
  </si>
  <si>
    <t xml:space="preserve">Status 'Diterima dengan Catatan' harus memiliki catatan dan bila perlu Defect/Feedback ID.</t>
  </si>
  <si>
    <t xml:space="preserve">4</t>
  </si>
  <si>
    <t xml:space="preserve">Item N/A harus disertai alasan ruang lingkup. Keputusan akhir diisi pada sheet Sign-Off.</t>
  </si>
  <si>
    <t xml:space="preserve">5</t>
  </si>
  <si>
    <t xml:space="preserve">Pengujian fisik dilakukan dalam kondisi aman; jangan membuat skenario kantuk atau jalan berbahaya saat berkendara umum.</t>
  </si>
  <si>
    <t xml:space="preserve">IDENTITAS DOKUMEN &amp; RESPONDEN</t>
  </si>
  <si>
    <t xml:space="preserve">NILAI / ISIAN</t>
  </si>
  <si>
    <t xml:space="preserve">Nama Proyek</t>
  </si>
  <si>
    <t xml:space="preserve">Multimedia Project — Jetson Orin Nano</t>
  </si>
  <si>
    <t xml:space="preserve">Nomor Dokumen</t>
  </si>
  <si>
    <t xml:space="preserve">CAT-MMP-001</t>
  </si>
  <si>
    <t xml:space="preserve">Versi Dokumen</t>
  </si>
  <si>
    <t xml:space="preserve">1.0</t>
  </si>
  <si>
    <t xml:space="preserve">Versi Build/Commit</t>
  </si>
  <si>
    <t xml:space="preserve">Tanggal Pengujian</t>
  </si>
  <si>
    <t xml:space="preserve">Lokasi Pengujian</t>
  </si>
  <si>
    <t xml:space="preserve">Nama Customer/Responden</t>
  </si>
  <si>
    <t xml:space="preserve">Jabatan/Peran</t>
  </si>
  <si>
    <t xml:space="preserve">Perusahaan/Departemen</t>
  </si>
  <si>
    <t xml:space="preserve">Email/No. Kontak</t>
  </si>
  <si>
    <t xml:space="preserve">Nama Fasilitator</t>
  </si>
  <si>
    <t xml:space="preserve">Nama Tester/QA</t>
  </si>
  <si>
    <t xml:space="preserve">Unit Jetson/Head Unit</t>
  </si>
  <si>
    <t xml:space="preserve">Perangkat Pendukung</t>
  </si>
  <si>
    <t xml:space="preserve">Kamera, ESP32, GPS, Android/iPhone, USB, fragrance, ambient light</t>
  </si>
  <si>
    <t xml:space="preserve">Waktu Mulai</t>
  </si>
  <si>
    <t xml:space="preserve">Waktu Selesai</t>
  </si>
  <si>
    <t xml:space="preserve">FORMULIR CUSTOMER ACCEPTANCE</t>
  </si>
  <si>
    <t xml:space="preserve">Isi respons customer secara faktual. Nilai: 1=Sangat Tidak Puas, 2=Tidak Puas, 3=Cukup, 4=Puas, 5=Sangat Puas.</t>
  </si>
  <si>
    <t xml:space="preserve">No.</t>
  </si>
  <si>
    <t xml:space="preserve">ID</t>
  </si>
  <si>
    <t xml:space="preserve">Area/Fitur</t>
  </si>
  <si>
    <t xml:space="preserve">Pertanyaan Acceptance</t>
  </si>
  <si>
    <t xml:space="preserve">Skenario/Test yang Dilakukan</t>
  </si>
  <si>
    <t xml:space="preserve">Hasil yang Diharapkan</t>
  </si>
  <si>
    <t xml:space="preserve">Respons Customer</t>
  </si>
  <si>
    <t xml:space="preserve">Nilai (1–5)</t>
  </si>
  <si>
    <t xml:space="preserve">Status Acceptance</t>
  </si>
  <si>
    <t xml:space="preserve">Catatan/Alasan</t>
  </si>
  <si>
    <t xml:space="preserve">Bukti/Defect ID</t>
  </si>
  <si>
    <t xml:space="preserve">Paraf</t>
  </si>
  <si>
    <t xml:space="preserve">UAT-001</t>
  </si>
  <si>
    <t xml:space="preserve">Startup</t>
  </si>
  <si>
    <t xml:space="preserve">Apakah sistem dapat menyala dan menampilkan aplikasi tanpa error?</t>
  </si>
  <si>
    <t xml:space="preserve">Lakukan cold boot Jetson, tunggu sampai Boot Page tampil, lalu lanjutkan seluruh intro.</t>
  </si>
  <si>
    <t xml:space="preserve">Aplikasi tampil penuh, tidak hang/crash, dan urutan Boot → Warning → Ganjil/Genap → Pilih Driver berjalan.</t>
  </si>
  <si>
    <t xml:space="preserve">Belum Diuji</t>
  </si>
  <si>
    <t xml:space="preserve">UAT-002</t>
  </si>
  <si>
    <t xml:space="preserve">Warning</t>
  </si>
  <si>
    <t xml:space="preserve">Apakah informasi keselamatan mudah dipahami?</t>
  </si>
  <si>
    <t xml:space="preserve">Baca warning lalu tekan tombol persetujuan.</t>
  </si>
  <si>
    <t xml:space="preserve">Teks terbaca jelas, tombol responsif, dan hanya lanjut setelah customer menyetujui.</t>
  </si>
  <si>
    <t xml:space="preserve">UAT-003</t>
  </si>
  <si>
    <t xml:space="preserve">Face Recognition</t>
  </si>
  <si>
    <t xml:space="preserve">Apakah driver terdaftar dikenali dengan benar?</t>
  </si>
  <si>
    <t xml:space="preserve">Hadapkan wajah driver terdaftar ke kamera pada jarak normal.</t>
  </si>
  <si>
    <t xml:space="preserve">Nama yang benar terdeteksi dan sistem otomatis membuka Home tanpa memilih akun lain.</t>
  </si>
  <si>
    <t xml:space="preserve">UAT-004</t>
  </si>
  <si>
    <t xml:space="preserve">Apakah orang yang belum terdaftar ditolak dengan aman?</t>
  </si>
  <si>
    <t xml:space="preserve">Hadapkan wajah orang yang belum terdaftar.</t>
  </si>
  <si>
    <t xml:space="preserve">Tidak terjadi auto-login sebagai driver lain; halaman pemilihan driver tetap tampil.</t>
  </si>
  <si>
    <t xml:space="preserve">UAT-005</t>
  </si>
  <si>
    <t xml:space="preserve">Tambah Driver</t>
  </si>
  <si>
    <t xml:space="preserve">Apakah proses pendaftaran driver baru mudah diikuti?</t>
  </si>
  <si>
    <t xml:space="preserve">Isi nama, ikuti panduan posisi wajah selama capture, lalu simpan.</t>
  </si>
  <si>
    <t xml:space="preserve">Progress sampel terlihat, registrasi berhasil, profil tersimpan, dan driver masuk ke Home.</t>
  </si>
  <si>
    <t xml:space="preserve">UAT-006</t>
  </si>
  <si>
    <t xml:space="preserve">Apakah sistem memberi pesan yang jelas untuk input tidak valid?</t>
  </si>
  <si>
    <t xml:space="preserve">Coba mulai registrasi tanpa nama dan saat wajah tidak terlihat jelas.</t>
  </si>
  <si>
    <t xml:space="preserve">Sistem menolak input kosong dan memberi panduan/peringatan tanpa crash.</t>
  </si>
  <si>
    <t xml:space="preserve">UAT-007</t>
  </si>
  <si>
    <t xml:space="preserve">Pilih Driver</t>
  </si>
  <si>
    <t xml:space="preserve">Apakah login manual melalui kartu driver berfungsi?</t>
  </si>
  <si>
    <t xml:space="preserve">Tekan salah satu kartu driver terdaftar.</t>
  </si>
  <si>
    <t xml:space="preserve">Driver aktif sesuai kartu yang dipilih dan preferensinya dimuat.</t>
  </si>
  <si>
    <t xml:space="preserve">UAT-008</t>
  </si>
  <si>
    <t xml:space="preserve">Guest</t>
  </si>
  <si>
    <t xml:space="preserve">Apakah mode tamu dapat digunakan tanpa membawa profil sebelumnya?</t>
  </si>
  <si>
    <t xml:space="preserve">Masuk sebagai guest setelah sebelumnya memakai akun driver.</t>
  </si>
  <si>
    <t xml:space="preserve">Home terbuka, sesi driver lama dibersihkan, dan data profil pribadi tidak tertukar.</t>
  </si>
  <si>
    <t xml:space="preserve">UAT-009</t>
  </si>
  <si>
    <t xml:space="preserve">Profil</t>
  </si>
  <si>
    <t xml:space="preserve">Apakah preferensi driver tersimpan dan kembali dengan benar?</t>
  </si>
  <si>
    <t xml:space="preserve">Ubah fan, temperatur, fragrance, bahasa, dan tema; ganti driver lalu login kembali.</t>
  </si>
  <si>
    <t xml:space="preserve">Setiap preferensi kembali sesuai akun dan tidak memengaruhi akun lain.</t>
  </si>
  <si>
    <t xml:space="preserve">UAT-010</t>
  </si>
  <si>
    <t xml:space="preserve">Hapus Akun</t>
  </si>
  <si>
    <t xml:space="preserve">Apakah penghapusan akun aman dan memerlukan verifikasi?</t>
  </si>
  <si>
    <t xml:space="preserve">Buka personalisasi, pilih hapus akun, verifikasi wajah, lalu konfirmasi.</t>
  </si>
  <si>
    <t xml:space="preserve">Akun hanya terhapus setelah verifikasi; dataset dan kartu driver hilang tanpa menghapus akun lain.</t>
  </si>
  <si>
    <t xml:space="preserve">UAT-011</t>
  </si>
  <si>
    <t xml:space="preserve">Drowsiness</t>
  </si>
  <si>
    <t xml:space="preserve">Apakah monitoring kantuk mulai untuk driver aktif?</t>
  </si>
  <si>
    <t xml:space="preserve">Login sebagai driver dan aktifkan Peringatan Kantuk.</t>
  </si>
  <si>
    <t xml:space="preserve">Status monitoring aktif untuk nama driver yang benar dan tidak menghambat UI.</t>
  </si>
  <si>
    <t xml:space="preserve">UAT-012</t>
  </si>
  <si>
    <t xml:space="preserve">Apakah peringatan kantuk muncul dan dapat dipahami?</t>
  </si>
  <si>
    <t xml:space="preserve">Gunakan skenario demo mata tertutup/menguap sesuai prosedur aman.</t>
  </si>
  <si>
    <t xml:space="preserve">Alert muncul sekali sesuai threshold, jelas, dapat ditutup, dan tidak spam.</t>
  </si>
  <si>
    <t xml:space="preserve">UAT-013</t>
  </si>
  <si>
    <t xml:space="preserve">Mood &amp; Musik</t>
  </si>
  <si>
    <t xml:space="preserve">Apakah rekomendasi musik berdasarkan mood relevan dan dapat dibuka?</t>
  </si>
  <si>
    <t xml:space="preserve">Tampilkan ekspresi happy/sad stabil sampai rekomendasi muncul, lalu tekan buka musik.</t>
  </si>
  <si>
    <t xml:space="preserve">Rekomendasi sesuai mood dan berpindah ke halaman Music dengan keyword yang tepat.</t>
  </si>
  <si>
    <t xml:space="preserve">UAT-014</t>
  </si>
  <si>
    <t xml:space="preserve">Home</t>
  </si>
  <si>
    <t xml:space="preserve">Apakah navigasi Music, Phone, Home, Menu, dan Settings mudah digunakan?</t>
  </si>
  <si>
    <t xml:space="preserve">Buka kelima tab dari side menu secara berurutan.</t>
  </si>
  <si>
    <t xml:space="preserve">Tab aktif jelas, perpindahan halus, dan tidak ada elemen halaman lama yang bocor.</t>
  </si>
  <si>
    <t xml:space="preserve">UAT-015</t>
  </si>
  <si>
    <t xml:space="preserve">Mobil 3D</t>
  </si>
  <si>
    <t xml:space="preserve">Apakah model mobil tampil utuh dan interaksinya lancar?</t>
  </si>
  <si>
    <t xml:space="preserve">Geser model 360°, ubah sudut vertikal, pinch zoom, lalu reset.</t>
  </si>
  <si>
    <t xml:space="preserve">Seluruh bagian mobil termasuk belakang tidak terpotong pada zoom normal; drag halus dan reset benar.</t>
  </si>
  <si>
    <t xml:space="preserve">UAT-016</t>
  </si>
  <si>
    <t xml:space="preserve">Apakah model 3D bebas glitch saat masuk Home?</t>
  </si>
  <si>
    <t xml:space="preserve">Dari Add Driver atau Driver Select, masuk ke Home beberapa kali.</t>
  </si>
  <si>
    <t xml:space="preserve">Model tidak muncul di halaman sebelumnya dan baru tampil setelah transisi Home selesai.</t>
  </si>
  <si>
    <t xml:space="preserve">UAT-017</t>
  </si>
  <si>
    <t xml:space="preserve">Peta &amp; GPS</t>
  </si>
  <si>
    <t xml:space="preserve">Apakah posisi kendaraan dan status GPS ditampilkan dengan benar?</t>
  </si>
  <si>
    <t xml:space="preserve">Hubungkan ESP32/GPS, tunggu fix, lalu bergerak pada rute aman.</t>
  </si>
  <si>
    <t xml:space="preserve">Koordinat, heading, kecepatan, dan posisi peta mengikuti data tanpa lompatan tidak wajar.</t>
  </si>
  <si>
    <t xml:space="preserve">UAT-018</t>
  </si>
  <si>
    <t xml:space="preserve">Deteksi Jalan</t>
  </si>
  <si>
    <t xml:space="preserve">Apakah lubang/polisi tidur terdeteksi dan ditampilkan?</t>
  </si>
  <si>
    <t xml:space="preserve">Gunakan simulator atau lintasan uji aman untuk event bumper dan pothole.</t>
  </si>
  <si>
    <t xml:space="preserve">Kategori, severity, marker, dan notifikasi sesuai event; jalan normal tidak memicu alarm palsu.</t>
  </si>
  <si>
    <t xml:space="preserve">UAT-019</t>
  </si>
  <si>
    <t xml:space="preserve">ESP32</t>
  </si>
  <si>
    <t xml:space="preserve">Apakah sistem pulih ketika ESP32 terputus dan tersambung kembali?</t>
  </si>
  <si>
    <t xml:space="preserve">Cabut USB ESP32 selama Home aktif, tunggu status berubah, lalu pasang kembali.</t>
  </si>
  <si>
    <t xml:space="preserve">UI tetap responsif, status disconnect jelas, dan telemetry pulih otomatis tanpa restart HMI.</t>
  </si>
  <si>
    <t xml:space="preserve">UAT-020</t>
  </si>
  <si>
    <t xml:space="preserve">Music/Spotify</t>
  </si>
  <si>
    <t xml:space="preserve">Apakah pencarian dan kontrol musik bekerja?</t>
  </si>
  <si>
    <t xml:space="preserve">Cari lagu, play, pause, next, previous, dan seek.</t>
  </si>
  <si>
    <t xml:space="preserve">Metadata, artwork, posisi, dan status play mengikuti Spotify tanpa delay mengganggu.</t>
  </si>
  <si>
    <t xml:space="preserve">UAT-021</t>
  </si>
  <si>
    <t xml:space="preserve">Lyrics</t>
  </si>
  <si>
    <t xml:space="preserve">Apakah lirik tampil dan tersinkron dengan lagu?</t>
  </si>
  <si>
    <t xml:space="preserve">Putar lagu yang memiliki lirik dan amati highlight baris.</t>
  </si>
  <si>
    <t xml:space="preserve">Lirik lagu yang benar tampil, dapat dibaca, dan mengikuti waktu playback.</t>
  </si>
  <si>
    <t xml:space="preserve">UAT-022</t>
  </si>
  <si>
    <t xml:space="preserve">Radio</t>
  </si>
  <si>
    <t xml:space="preserve">Apakah radio dapat dipilih dan dikontrol?</t>
  </si>
  <si>
    <t xml:space="preserve">Buka Radio, pilih stasiun, play/pause, next, dan previous.</t>
  </si>
  <si>
    <t xml:space="preserve">Audio dan informasi stasiun sesuai pilihan; kontrol responsif.</t>
  </si>
  <si>
    <t xml:space="preserve">UAT-023</t>
  </si>
  <si>
    <t xml:space="preserve">Bluetooth</t>
  </si>
  <si>
    <t xml:space="preserve">Apakah scan dan pairing perangkat mudah dilakukan?</t>
  </si>
  <si>
    <t xml:space="preserve">Aktifkan Bluetooth ponsel, scan, pairing, lalu disconnect.</t>
  </si>
  <si>
    <t xml:space="preserve">Perangkat ditemukan, status pairing benar, dan disconnect tidak membuat UI hang.</t>
  </si>
  <si>
    <t xml:space="preserve">UAT-024</t>
  </si>
  <si>
    <t xml:space="preserve">USB</t>
  </si>
  <si>
    <t xml:space="preserve">Apakah perangkat USB terdeteksi dan informasinya benar?</t>
  </si>
  <si>
    <t xml:space="preserve">Pasang USB storage/audio, buka halaman USB, lalu connect/disconnect.</t>
  </si>
  <si>
    <t xml:space="preserve">Nama, kapasitas/status, dan aksi koneksi sesuai perangkat fisik.</t>
  </si>
  <si>
    <t xml:space="preserve">UAT-025</t>
  </si>
  <si>
    <t xml:space="preserve">Android Auto Kabel</t>
  </si>
  <si>
    <t xml:space="preserve">Apakah Android Auto kabel siap digunakan customer?</t>
  </si>
  <si>
    <t xml:space="preserve">Hubungkan ponsel Android dengan kabel, setujui dialog, buka Maps/Music, coba touch dan audio.</t>
  </si>
  <si>
    <t xml:space="preserve">Video fullscreen stabil, touch tepat, audio keluar, dan disconnect mengembalikan ponsel ke MTP.</t>
  </si>
  <si>
    <t xml:space="preserve">UAT-026</t>
  </si>
  <si>
    <t xml:space="preserve">Android Auto Wireless</t>
  </si>
  <si>
    <t xml:space="preserve">Apakah pairing dan proyeksi wireless berjalan?</t>
  </si>
  <si>
    <t xml:space="preserve">Pilih wireless, pairing Bluetooth, sambungkan ponsel ke hotspot, lalu jalankan Maps dan Music.</t>
  </si>
  <si>
    <t xml:space="preserve">Status tahapan jelas, video/touch/audio aktif, dan Wi-Fi sebelumnya dipulihkan setelah disconnect.</t>
  </si>
  <si>
    <t xml:space="preserve">UAT-027</t>
  </si>
  <si>
    <t xml:space="preserve">CarPlay</t>
  </si>
  <si>
    <t xml:space="preserve">Apakah halaman dan koneksi CarPlay sesuai ruang lingkup?</t>
  </si>
  <si>
    <t xml:space="preserve">Buka Apple CarPlay dan hubungkan iPhone/perangkat receiver yang disepakati.</t>
  </si>
  <si>
    <t xml:space="preserve">Halaman tidak mencampur label Android Auto; hasil koneksi sesuai scope kontrak dan gap dicatat.</t>
  </si>
  <si>
    <t xml:space="preserve">UAT-028</t>
  </si>
  <si>
    <t xml:space="preserve">Smart Fragrance</t>
  </si>
  <si>
    <t xml:space="preserve">Apakah pilihan aroma dan kekuatan sesuai output perangkat?</t>
  </si>
  <si>
    <t xml:space="preserve">Uji Coffee, Lavender, Both, Off, speed 1–3, Manual, dan Auto.</t>
  </si>
  <si>
    <t xml:space="preserve">Motor/aroma fisik sesuai pilihan UI, state feedback sinkron, dan Off mematikan seluruh output.</t>
  </si>
  <si>
    <t xml:space="preserve">UAT-029</t>
  </si>
  <si>
    <t xml:space="preserve">Ambient Light</t>
  </si>
  <si>
    <t xml:space="preserve">Apakah pencahayaan kabin dapat dikontrol?</t>
  </si>
  <si>
    <t xml:space="preserve">Uji power, preset animasi, warna RGB, dan intensitas.</t>
  </si>
  <si>
    <t xml:space="preserve">Lampu fisik mengikuti UI; kegagalan MQTT menampilkan pesan dan tidak mengunci aplikasi.</t>
  </si>
  <si>
    <t xml:space="preserve">UAT-030</t>
  </si>
  <si>
    <t xml:space="preserve">Theme</t>
  </si>
  <si>
    <t xml:space="preserve">Apakah tema bawaan dan custom konsisten?</t>
  </si>
  <si>
    <t xml:space="preserve">Uji Comfort, Eco, Sport, tema lain, warna custom, dan background image.</t>
  </si>
  <si>
    <t xml:space="preserve">Preview dan Home memakai tema terpilih; teks tetap terbaca dan tersimpan per driver.</t>
  </si>
  <si>
    <t xml:space="preserve">UAT-031</t>
  </si>
  <si>
    <t xml:space="preserve">Settings</t>
  </si>
  <si>
    <t xml:space="preserve">Apakah volume dan bahasa bekerja serta tersimpan?</t>
  </si>
  <si>
    <t xml:space="preserve">Geser volume, ganti Bahasa/English, pindah halaman, lalu restart sesi.</t>
  </si>
  <si>
    <t xml:space="preserve">Volume sistem berubah, seluruh label relevan berganti bahasa, dan pilihan tersimpan.</t>
  </si>
  <si>
    <t xml:space="preserve">UAT-032</t>
  </si>
  <si>
    <t xml:space="preserve">Video</t>
  </si>
  <si>
    <t xml:space="preserve">Apakah pemutar video memenuhi kebutuhan?</t>
  </si>
  <si>
    <t xml:space="preserve">Buka video, play/pause, seek, atur volume dan speed 0.75×/1×/1.25×, lalu tutup.</t>
  </si>
  <si>
    <t xml:space="preserve">Video dan audio sinkron, kontrol benar, dan resource dilepas setelah ditutup.</t>
  </si>
  <si>
    <t xml:space="preserve">UAT-033</t>
  </si>
  <si>
    <t xml:space="preserve">RJ45/Remote</t>
  </si>
  <si>
    <t xml:space="preserve">Apakah perintah dari perangkat eksternal diterima dengan aman?</t>
  </si>
  <si>
    <t xml:space="preserve">Kirim perintah valid, paket terpotong, JSON invalid, cabut/pasang RJ45.</t>
  </si>
  <si>
    <t xml:space="preserve">Perintah valid dijalankan, input invalid ditolak dengan ACK error, dan koneksi pulih otomatis.</t>
  </si>
  <si>
    <t xml:space="preserve">UAT-034</t>
  </si>
  <si>
    <t xml:space="preserve">Performance</t>
  </si>
  <si>
    <t xml:space="preserve">Apakah HMI terasa lancar pada beban penggunaan normal?</t>
  </si>
  <si>
    <t xml:space="preserve">Jalankan Maps, musik, DMS, telemetry ESP32, dan interaksi 3D selama minimal 30 menit.</t>
  </si>
  <si>
    <t xml:space="preserve">Touch tetap responsif, animasi mulus, audio tidak putus, dan tidak ada crash/throttling berlebih.</t>
  </si>
  <si>
    <t xml:space="preserve">UAT-035</t>
  </si>
  <si>
    <t xml:space="preserve">Recovery</t>
  </si>
  <si>
    <t xml:space="preserve">Apakah sistem pulih dari backend/network yang restart?</t>
  </si>
  <si>
    <t xml:space="preserve">Restart backend dan matikan/nyalakan jaringan saat aplikasi berjalan.</t>
  </si>
  <si>
    <t xml:space="preserve">Aplikasi memberi status wajar, tidak crash, dan fungsi kembali tanpa reboot Jetson bila memungkinkan.</t>
  </si>
  <si>
    <t xml:space="preserve">UAT-036</t>
  </si>
  <si>
    <t xml:space="preserve">Privasi</t>
  </si>
  <si>
    <t xml:space="preserve">Apakah penggunaan data wajah dan profil dapat diterima customer?</t>
  </si>
  <si>
    <t xml:space="preserve">Tinjau penyimpanan lokal, penghapusan akun, log, dan akses dataset.</t>
  </si>
  <si>
    <t xml:space="preserve">Customer memahami lokasi/purpose data; data dapat dihapus dan tidak tampil di log umum tanpa kebutuhan.</t>
  </si>
  <si>
    <t xml:space="preserve">UAT-037</t>
  </si>
  <si>
    <t xml:space="preserve">Usability</t>
  </si>
  <si>
    <t xml:space="preserve">Apakah ukuran teks, kontras, dan target sentuh nyaman di head unit?</t>
  </si>
  <si>
    <t xml:space="preserve">Gunakan seluruh flow pada posisi duduk pengemudi/penumpang dalam kondisi terang dan gelap.</t>
  </si>
  <si>
    <t xml:space="preserve">Informasi utama terbaca cepat, tombol mudah disentuh, dan tidak ada kontrol penting terlalu kecil.</t>
  </si>
  <si>
    <t xml:space="preserve">UAT-038</t>
  </si>
  <si>
    <t xml:space="preserve">Overall</t>
  </si>
  <si>
    <t xml:space="preserve">Apakah solusi secara keseluruhan memenuhi kebutuhan customer?</t>
  </si>
  <si>
    <t xml:space="preserve">Review hasil seluruh test, defect terbuka, batasan, dan kebutuhan tindak lanjut.</t>
  </si>
  <si>
    <t xml:space="preserve">Customer memberi keputusan Diterima/Diterima dengan Catatan/Ditolak beserta alasan dan sign-off.</t>
  </si>
  <si>
    <t xml:space="preserve">FEEDBACK, CATATAN, DAN TINDAK LANJUT CUSTOMER</t>
  </si>
  <si>
    <t xml:space="preserve">Gunakan satu baris per feedback/masalah. Hubungkan ke ID acceptance atau test case bila tersedia.</t>
  </si>
  <si>
    <t xml:space="preserve">Feedback ID</t>
  </si>
  <si>
    <t xml:space="preserve">Referensi ID</t>
  </si>
  <si>
    <t xml:space="preserve">Kategori</t>
  </si>
  <si>
    <t xml:space="preserve">Feedback/Temuan Customer</t>
  </si>
  <si>
    <t xml:space="preserve">Prioritas</t>
  </si>
  <si>
    <t xml:space="preserve">Respons Tim</t>
  </si>
  <si>
    <t xml:space="preserve">PIC</t>
  </si>
  <si>
    <t xml:space="preserve">Target Selesai</t>
  </si>
  <si>
    <t xml:space="preserve">Status</t>
  </si>
  <si>
    <t xml:space="preserve">Hasil Retest &amp; Persetujuan Customer</t>
  </si>
  <si>
    <t xml:space="preserve">FB-001</t>
  </si>
  <si>
    <t xml:space="preserve">Open</t>
  </si>
  <si>
    <t xml:space="preserve">FB-002</t>
  </si>
  <si>
    <t xml:space="preserve">FB-003</t>
  </si>
  <si>
    <t xml:space="preserve">FB-004</t>
  </si>
  <si>
    <t xml:space="preserve">FB-005</t>
  </si>
  <si>
    <t xml:space="preserve">FB-006</t>
  </si>
  <si>
    <t xml:space="preserve">FB-007</t>
  </si>
  <si>
    <t xml:space="preserve">FB-008</t>
  </si>
  <si>
    <t xml:space="preserve">FB-009</t>
  </si>
  <si>
    <t xml:space="preserve">FB-010</t>
  </si>
  <si>
    <t xml:space="preserve">FB-011</t>
  </si>
  <si>
    <t xml:space="preserve">FB-012</t>
  </si>
  <si>
    <t xml:space="preserve">FB-013</t>
  </si>
  <si>
    <t xml:space="preserve">FB-014</t>
  </si>
  <si>
    <t xml:space="preserve">FB-015</t>
  </si>
  <si>
    <t xml:space="preserve">FB-016</t>
  </si>
  <si>
    <t xml:space="preserve">FB-017</t>
  </si>
  <si>
    <t xml:space="preserve">FB-018</t>
  </si>
  <si>
    <t xml:space="preserve">FB-019</t>
  </si>
  <si>
    <t xml:space="preserve">FB-020</t>
  </si>
  <si>
    <t xml:space="preserve">FB-021</t>
  </si>
  <si>
    <t xml:space="preserve">FB-022</t>
  </si>
  <si>
    <t xml:space="preserve">FB-023</t>
  </si>
  <si>
    <t xml:space="preserve">FB-024</t>
  </si>
  <si>
    <t xml:space="preserve">FB-025</t>
  </si>
  <si>
    <t xml:space="preserve">RINGKASAN DAN PERSETUJUAN AKHIR CUSTOMER</t>
  </si>
  <si>
    <t xml:space="preserve">Keputusan hanya ditandatangani setelah seluruh item in-scope selesai atau memiliki catatan/tindak lanjut yang disepakati.</t>
  </si>
  <si>
    <t xml:space="preserve">RINGKASAN HASIL</t>
  </si>
  <si>
    <t xml:space="preserve">JUMLAH</t>
  </si>
  <si>
    <t xml:space="preserve">Total item acceptance</t>
  </si>
  <si>
    <t xml:space="preserve">Diterima</t>
  </si>
  <si>
    <t xml:space="preserve">Diterima dengan Catatan</t>
  </si>
  <si>
    <t xml:space="preserve">Ditolak</t>
  </si>
  <si>
    <t xml:space="preserve">N/A</t>
  </si>
  <si>
    <t xml:space="preserve">Rata-rata kepuasan (1–5)</t>
  </si>
  <si>
    <t xml:space="preserve">KEPUTUSAN CUSTOMER</t>
  </si>
  <si>
    <t xml:space="preserve">☐ DITERIMA</t>
  </si>
  <si>
    <t xml:space="preserve">Sistem diterima sesuai ruang lingkup dan kriteria yang disepakati.</t>
  </si>
  <si>
    <t xml:space="preserve">☐ DITERIMA DENGAN CATATAN</t>
  </si>
  <si>
    <t xml:space="preserve">Sistem diterima dengan tindak lanjut pada Feedback/Defect Log.</t>
  </si>
  <si>
    <t xml:space="preserve">☐ DITOLAK</t>
  </si>
  <si>
    <t xml:space="preserve">Sistem belum diterima; alasan dan syarat retest wajib ditulis.</t>
  </si>
  <si>
    <t xml:space="preserve">Alasan/ketentuan keputusan</t>
  </si>
  <si>
    <t xml:space="preserve">Target retest (jika ada)</t>
  </si>
  <si>
    <t xml:space="preserve">PERNYATAAN</t>
  </si>
  <si>
    <t xml:space="preserve">Dengan menandatangani dokumen ini, para pihak menyatakan bahwa hasil uji dan catatan di workbook ini telah ditinjau bersama. Persetujuan tidak menghapus batasan keselamatan, privasi, atau defect yang masih terbuka.</t>
  </si>
  <si>
    <t xml:space="preserve">PIHAK CUSTOMER</t>
  </si>
  <si>
    <t xml:space="preserve">PIHAK PROJECT/DEVELOPER</t>
  </si>
  <si>
    <t xml:space="preserve">Nama: ______________________________</t>
  </si>
  <si>
    <t xml:space="preserve">Jabatan: ____________________________</t>
  </si>
  <si>
    <t xml:space="preserve">Tanggal: ____________________________</t>
  </si>
  <si>
    <t xml:space="preserve">Tanda tangan:                         </t>
  </si>
  <si>
    <t xml:space="preserve">QA/WITNESS</t>
  </si>
  <si>
    <t xml:space="preserve">CATATAN QA</t>
  </si>
  <si>
    <t xml:space="preserve">REFERENSI PILIHAN DAN DEFINISI</t>
  </si>
  <si>
    <t xml:space="preserve">Nilai</t>
  </si>
  <si>
    <t xml:space="preserve">Status Feedback</t>
  </si>
  <si>
    <t xml:space="preserve">Definisi</t>
  </si>
  <si>
    <t xml:space="preserve">Critical</t>
  </si>
  <si>
    <t xml:space="preserve">Item belum dilaksanakan.</t>
  </si>
  <si>
    <t xml:space="preserve">High</t>
  </si>
  <si>
    <t xml:space="preserve">In Progress</t>
  </si>
  <si>
    <t xml:space="preserve">Customer menerima tanpa catatan yang menghalangi.</t>
  </si>
  <si>
    <t xml:space="preserve">Medium</t>
  </si>
  <si>
    <t xml:space="preserve">Ready for Retest</t>
  </si>
  <si>
    <t xml:space="preserve">Diterima dengan tindak lanjut yang disepakati.</t>
  </si>
  <si>
    <t xml:space="preserve">Low</t>
  </si>
  <si>
    <t xml:space="preserve">Closed</t>
  </si>
  <si>
    <t xml:space="preserve">Hasil tidak memenuhi kebutuhan acceptance.</t>
  </si>
  <si>
    <t xml:space="preserve">Deferred</t>
  </si>
  <si>
    <t xml:space="preserve">Di luar scope; alasan harus ditulis.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</si>
</sst>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ptos"/>
      <family val="2"/>
    </font>
    <font>
      <sz val="10"/>
      <color rgb="FF17365D"/>
      <name val="Aptos"/>
      <family val="2"/>
    </font>
    <font>
      <b val="true"/>
      <sz val="11"/>
      <color rgb="FFFFFFFF"/>
      <name val="Aptos"/>
      <family val="2"/>
    </font>
    <font>
      <sz val="10"/>
      <name val="Aptos"/>
      <family val="2"/>
    </font>
    <font>
      <b val="true"/>
      <sz val="10"/>
      <name val="Aptos"/>
      <family val="2"/>
    </font>
    <font>
      <b val="true"/>
      <sz val="9"/>
      <color rgb="FFFFFFFF"/>
      <name val="Aptos"/>
      <family val="2"/>
    </font>
    <font>
      <sz val="9"/>
      <color rgb="FF1F1F1F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17365D"/>
        <bgColor rgb="FF333399"/>
      </patternFill>
    </fill>
    <fill>
      <patternFill patternType="solid">
        <fgColor rgb="FFD9EAF7"/>
        <bgColor rgb="FFEAF3F8"/>
      </patternFill>
    </fill>
    <fill>
      <patternFill patternType="solid">
        <fgColor rgb="FF0F6B78"/>
        <bgColor rgb="FF008080"/>
      </patternFill>
    </fill>
    <fill>
      <patternFill patternType="solid">
        <fgColor rgb="FFEAF3F8"/>
        <bgColor rgb="FFF5F7F9"/>
      </patternFill>
    </fill>
    <fill>
      <patternFill patternType="solid">
        <fgColor rgb="FF2F75B5"/>
        <bgColor rgb="FF0F6B78"/>
      </patternFill>
    </fill>
    <fill>
      <patternFill patternType="solid">
        <fgColor rgb="FFF5F7F9"/>
        <bgColor rgb="FFEAF3F8"/>
      </patternFill>
    </fill>
    <fill>
      <patternFill patternType="solid">
        <fgColor rgb="FFFFF2CC"/>
        <bgColor rgb="FFF5F7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>
        <color rgb="FFB7C9D6"/>
      </left>
      <right style="hair">
        <color rgb="FFB7C9D6"/>
      </right>
      <top style="hair">
        <color rgb="FFB7C9D6"/>
      </top>
      <bottom style="hair">
        <color rgb="FFB7C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F75B5"/>
        </patternFill>
      </fill>
    </dxf>
    <dxf>
      <fill>
        <patternFill patternType="solid">
          <fgColor rgb="FFF5F7F9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1F1F1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B78"/>
      <rgbColor rgb="FFB7C9D6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8"/>
      <rgbColor rgb="FFF5F7F9"/>
      <rgbColor rgb="FFFFFF99"/>
      <rgbColor rgb="FF99CCFF"/>
      <rgbColor rgb="FFFF99CC"/>
      <rgbColor rgb="FFCC99FF"/>
      <rgbColor rgb="FFFFCC99"/>
      <rgbColor rgb="FF2F75B5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cceptanceTable" displayName="AcceptanceTable" ref="A4:L42" headerRowCount="1" totalsRowCount="0" totalsRowShown="0">
  <autoFilter ref="A4:L42"/>
  <tableColumns count="12">
    <tableColumn id="1" name="No."/>
    <tableColumn id="2" name="ID"/>
    <tableColumn id="3" name="Area/Fitur"/>
    <tableColumn id="4" name="Pertanyaan Acceptance"/>
    <tableColumn id="5" name="Skenario/Test yang Dilakukan"/>
    <tableColumn id="6" name="Hasil yang Diharapkan"/>
    <tableColumn id="7" name="Respons Customer"/>
    <tableColumn id="8" name="Nilai (1–5)"/>
    <tableColumn id="9" name="Status Acceptance"/>
    <tableColumn id="10" name="Catatan/Alasan"/>
    <tableColumn id="11" name="Bukti/Defect ID"/>
    <tableColumn id="12" name="Paraf"/>
  </tableColumns>
</table>
</file>

<file path=xl/tables/table2.xml><?xml version="1.0" encoding="utf-8"?>
<table xmlns="http://schemas.openxmlformats.org/spreadsheetml/2006/main" id="2" name="FeedbackTable" displayName="FeedbackTable" ref="A4:K29" headerRowCount="1" totalsRowCount="0" totalsRowShown="0">
  <autoFilter ref="A4:K29"/>
  <tableColumns count="11">
    <tableColumn id="1" name="No."/>
    <tableColumn id="2" name="Feedback ID"/>
    <tableColumn id="3" name="Referensi ID"/>
    <tableColumn id="4" name="Kategori"/>
    <tableColumn id="5" name="Feedback/Temuan Customer"/>
    <tableColumn id="6" name="Prioritas"/>
    <tableColumn id="7" name="Respons Tim"/>
    <tableColumn id="8" name="PIC"/>
    <tableColumn id="9" name="Target Selesai"/>
    <tableColumn id="10" name="Status"/>
    <tableColumn id="11" name="Hasil Retest &amp; Persetujuan Customer"/>
  </tableColumns>
</tabl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37"/>
    <col collapsed="false" customWidth="true" hidden="false" outlineLevel="0" max="2" min="2" style="0" width="23.47"/>
    <col collapsed="false" customWidth="true" hidden="false" outlineLevel="0" max="8" min="3" style="0" width="10.2"/>
  </cols>
  <sheetData>
    <row r="1" customFormat="false" ht="2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0.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3.8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2.8" hidden="false" customHeight="true" outlineLevel="0" collapsed="false">
      <c r="A5" s="4" t="s">
        <v>3</v>
      </c>
      <c r="B5" s="5" t="s">
        <v>4</v>
      </c>
      <c r="C5" s="5"/>
      <c r="D5" s="5"/>
      <c r="E5" s="5"/>
      <c r="F5" s="5"/>
      <c r="G5" s="5"/>
      <c r="H5" s="5"/>
    </row>
    <row r="6" customFormat="false" ht="23.85" hidden="false" customHeight="true" outlineLevel="0" collapsed="false">
      <c r="A6" s="4" t="s">
        <v>5</v>
      </c>
      <c r="B6" s="5" t="s">
        <v>6</v>
      </c>
      <c r="C6" s="5"/>
      <c r="D6" s="5"/>
      <c r="E6" s="5"/>
      <c r="F6" s="5"/>
      <c r="G6" s="5"/>
      <c r="H6" s="5"/>
    </row>
    <row r="7" customFormat="false" ht="23.85" hidden="false" customHeight="true" outlineLevel="0" collapsed="false">
      <c r="A7" s="4" t="s">
        <v>7</v>
      </c>
      <c r="B7" s="5" t="s">
        <v>8</v>
      </c>
      <c r="C7" s="5"/>
      <c r="D7" s="5"/>
      <c r="E7" s="5"/>
      <c r="F7" s="5"/>
      <c r="G7" s="5"/>
      <c r="H7" s="5"/>
    </row>
    <row r="8" customFormat="false" ht="23.85" hidden="false" customHeight="true" outlineLevel="0" collapsed="false">
      <c r="A8" s="4" t="s">
        <v>9</v>
      </c>
      <c r="B8" s="5" t="s">
        <v>10</v>
      </c>
      <c r="C8" s="5"/>
      <c r="D8" s="5"/>
      <c r="E8" s="5"/>
      <c r="F8" s="5"/>
      <c r="G8" s="5"/>
      <c r="H8" s="5"/>
    </row>
    <row r="9" customFormat="false" ht="23.85" hidden="false" customHeight="true" outlineLevel="0" collapsed="false">
      <c r="A9" s="4" t="s">
        <v>11</v>
      </c>
      <c r="B9" s="5" t="s">
        <v>12</v>
      </c>
      <c r="C9" s="5"/>
      <c r="D9" s="5"/>
      <c r="E9" s="5"/>
      <c r="F9" s="5"/>
      <c r="G9" s="5"/>
      <c r="H9" s="5"/>
    </row>
    <row r="10" customFormat="false" ht="12.8" hidden="false" customHeight="false" outlineLevel="0" collapsed="false">
      <c r="A10" s="5"/>
      <c r="B10" s="5"/>
      <c r="C10" s="5"/>
      <c r="D10" s="5"/>
      <c r="E10" s="5"/>
      <c r="F10" s="5"/>
      <c r="G10" s="5"/>
      <c r="H10" s="5"/>
    </row>
    <row r="11" customFormat="false" ht="13.8" hidden="false" customHeight="false" outlineLevel="0" collapsed="false">
      <c r="A11" s="3" t="s">
        <v>13</v>
      </c>
      <c r="B11" s="3" t="s">
        <v>14</v>
      </c>
      <c r="C11" s="3"/>
      <c r="D11" s="3"/>
      <c r="E11" s="3"/>
      <c r="F11" s="3"/>
      <c r="G11" s="3"/>
      <c r="H11" s="3"/>
    </row>
    <row r="12" customFormat="false" ht="23.85" hidden="false" customHeight="true" outlineLevel="0" collapsed="false">
      <c r="A12" s="6" t="s">
        <v>15</v>
      </c>
      <c r="B12" s="7" t="s">
        <v>16</v>
      </c>
      <c r="C12" s="7"/>
      <c r="D12" s="7"/>
      <c r="E12" s="7"/>
      <c r="F12" s="7"/>
      <c r="G12" s="7"/>
      <c r="H12" s="7"/>
    </row>
    <row r="13" customFormat="false" ht="23.85" hidden="false" customHeight="true" outlineLevel="0" collapsed="false">
      <c r="A13" s="6" t="s">
        <v>17</v>
      </c>
      <c r="B13" s="7" t="s">
        <v>18</v>
      </c>
      <c r="C13" s="7"/>
      <c r="D13" s="7"/>
      <c r="E13" s="7"/>
      <c r="F13" s="7"/>
      <c r="G13" s="7"/>
      <c r="H13" s="7"/>
    </row>
    <row r="14" customFormat="false" ht="23.85" hidden="false" customHeight="true" outlineLevel="0" collapsed="false">
      <c r="A14" s="6" t="s">
        <v>19</v>
      </c>
      <c r="B14" s="8" t="s">
        <v>20</v>
      </c>
      <c r="C14" s="8"/>
      <c r="D14" s="8"/>
      <c r="E14" s="8"/>
      <c r="F14" s="8"/>
      <c r="G14" s="8"/>
      <c r="H14" s="8"/>
    </row>
    <row r="15" customFormat="false" ht="35.05" hidden="false" customHeight="false" outlineLevel="0" collapsed="false">
      <c r="A15" s="6" t="s">
        <v>21</v>
      </c>
      <c r="B15" s="7"/>
      <c r="C15" s="7"/>
      <c r="D15" s="7"/>
      <c r="E15" s="7"/>
      <c r="F15" s="7"/>
      <c r="G15" s="7"/>
      <c r="H15" s="7"/>
    </row>
    <row r="16" customFormat="false" ht="23.85" hidden="false" customHeight="false" outlineLevel="0" collapsed="false">
      <c r="A16" s="6" t="s">
        <v>22</v>
      </c>
      <c r="B16" s="7"/>
      <c r="C16" s="7"/>
      <c r="D16" s="7"/>
      <c r="E16" s="7"/>
      <c r="F16" s="7"/>
      <c r="G16" s="7"/>
      <c r="H16" s="7"/>
    </row>
    <row r="17" customFormat="false" ht="23.85" hidden="false" customHeight="false" outlineLevel="0" collapsed="false">
      <c r="A17" s="6" t="s">
        <v>23</v>
      </c>
      <c r="B17" s="7"/>
      <c r="C17" s="7"/>
      <c r="D17" s="7"/>
      <c r="E17" s="7"/>
      <c r="F17" s="7"/>
      <c r="G17" s="7"/>
      <c r="H17" s="7"/>
    </row>
    <row r="18" customFormat="false" ht="46.25" hidden="false" customHeight="false" outlineLevel="0" collapsed="false">
      <c r="A18" s="6" t="s">
        <v>24</v>
      </c>
      <c r="B18" s="7"/>
      <c r="C18" s="7"/>
      <c r="D18" s="7"/>
      <c r="E18" s="7"/>
      <c r="F18" s="7"/>
      <c r="G18" s="7"/>
      <c r="H18" s="7"/>
    </row>
    <row r="19" customFormat="false" ht="23.85" hidden="false" customHeight="false" outlineLevel="0" collapsed="false">
      <c r="A19" s="6" t="s">
        <v>25</v>
      </c>
      <c r="B19" s="7"/>
      <c r="C19" s="7"/>
      <c r="D19" s="7"/>
      <c r="E19" s="7"/>
      <c r="F19" s="7"/>
      <c r="G19" s="7"/>
      <c r="H19" s="7"/>
    </row>
    <row r="20" customFormat="false" ht="46.25" hidden="false" customHeight="false" outlineLevel="0" collapsed="false">
      <c r="A20" s="6" t="s">
        <v>26</v>
      </c>
      <c r="B20" s="7"/>
      <c r="C20" s="7"/>
      <c r="D20" s="7"/>
      <c r="E20" s="7"/>
      <c r="F20" s="7"/>
      <c r="G20" s="7"/>
      <c r="H20" s="7"/>
    </row>
    <row r="21" customFormat="false" ht="23.85" hidden="false" customHeight="false" outlineLevel="0" collapsed="false">
      <c r="A21" s="6" t="s">
        <v>27</v>
      </c>
      <c r="B21" s="7"/>
      <c r="C21" s="7"/>
      <c r="D21" s="7"/>
      <c r="E21" s="7"/>
      <c r="F21" s="7"/>
      <c r="G21" s="7"/>
      <c r="H21" s="7"/>
    </row>
    <row r="22" customFormat="false" ht="23.85" hidden="false" customHeight="false" outlineLevel="0" collapsed="false">
      <c r="A22" s="6" t="s">
        <v>28</v>
      </c>
      <c r="B22" s="7"/>
      <c r="C22" s="7"/>
      <c r="D22" s="7"/>
      <c r="E22" s="7"/>
      <c r="F22" s="7"/>
      <c r="G22" s="7"/>
      <c r="H22" s="7"/>
    </row>
    <row r="23" customFormat="false" ht="23.85" hidden="false" customHeight="false" outlineLevel="0" collapsed="false">
      <c r="A23" s="6" t="s">
        <v>29</v>
      </c>
      <c r="B23" s="7"/>
      <c r="C23" s="7"/>
      <c r="D23" s="7"/>
      <c r="E23" s="7"/>
      <c r="F23" s="7"/>
      <c r="G23" s="7"/>
      <c r="H23" s="7"/>
    </row>
    <row r="24" customFormat="false" ht="35.05" hidden="false" customHeight="false" outlineLevel="0" collapsed="false">
      <c r="A24" s="6" t="s">
        <v>30</v>
      </c>
      <c r="B24" s="7"/>
      <c r="C24" s="7"/>
      <c r="D24" s="7"/>
      <c r="E24" s="7"/>
      <c r="F24" s="7"/>
      <c r="G24" s="7"/>
      <c r="H24" s="7"/>
    </row>
    <row r="25" customFormat="false" ht="35.05" hidden="false" customHeight="true" outlineLevel="0" collapsed="false">
      <c r="A25" s="6" t="s">
        <v>31</v>
      </c>
      <c r="B25" s="7" t="s">
        <v>32</v>
      </c>
      <c r="C25" s="7"/>
      <c r="D25" s="7"/>
      <c r="E25" s="7"/>
      <c r="F25" s="7"/>
      <c r="G25" s="7"/>
      <c r="H25" s="7"/>
    </row>
    <row r="26" customFormat="false" ht="23.85" hidden="false" customHeight="false" outlineLevel="0" collapsed="false">
      <c r="A26" s="6" t="s">
        <v>33</v>
      </c>
      <c r="B26" s="7"/>
      <c r="C26" s="7"/>
      <c r="D26" s="7"/>
      <c r="E26" s="7"/>
      <c r="F26" s="7"/>
      <c r="G26" s="7"/>
      <c r="H26" s="7"/>
    </row>
    <row r="27" customFormat="false" ht="23.85" hidden="false" customHeight="false" outlineLevel="0" collapsed="false">
      <c r="A27" s="6" t="s">
        <v>34</v>
      </c>
      <c r="B27" s="7"/>
      <c r="C27" s="7"/>
      <c r="D27" s="7"/>
      <c r="E27" s="7"/>
      <c r="F27" s="7"/>
      <c r="G27" s="7"/>
      <c r="H27" s="7"/>
    </row>
  </sheetData>
  <mergeCells count="26">
    <mergeCell ref="A1:H1"/>
    <mergeCell ref="A2:H2"/>
    <mergeCell ref="A4:H4"/>
    <mergeCell ref="B5:H5"/>
    <mergeCell ref="B6:H6"/>
    <mergeCell ref="B7:H7"/>
    <mergeCell ref="B8:H8"/>
    <mergeCell ref="B9:H9"/>
    <mergeCell ref="B10:H10"/>
    <mergeCell ref="A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59"/>
    <col collapsed="false" customWidth="true" hidden="false" outlineLevel="0" max="2" min="2" style="0" width="7.65"/>
    <col collapsed="false" customWidth="true" hidden="false" outlineLevel="0" max="3" min="3" style="0" width="13.27"/>
    <col collapsed="false" customWidth="true" hidden="false" outlineLevel="0" max="4" min="4" style="0" width="27.55"/>
    <col collapsed="false" customWidth="true" hidden="false" outlineLevel="0" max="5" min="5" style="0" width="32.65"/>
    <col collapsed="false" customWidth="true" hidden="false" outlineLevel="0" max="6" min="6" style="0" width="31.12"/>
    <col collapsed="false" customWidth="true" hidden="false" outlineLevel="0" max="7" min="7" style="0" width="25.52"/>
    <col collapsed="false" customWidth="true" hidden="false" outlineLevel="0" max="8" min="8" style="0" width="7.65"/>
    <col collapsed="false" customWidth="true" hidden="false" outlineLevel="0" max="9" min="9" style="0" width="15.31"/>
    <col collapsed="false" customWidth="true" hidden="false" outlineLevel="0" max="10" min="10" style="0" width="22.44"/>
    <col collapsed="false" customWidth="true" hidden="false" outlineLevel="0" max="11" min="11" style="0" width="14.8"/>
    <col collapsed="false" customWidth="true" hidden="false" outlineLevel="0" max="12" min="12" style="0" width="7.65"/>
  </cols>
  <sheetData>
    <row r="1" customFormat="false" ht="29.75" hidden="false" customHeight="true" outlineLevel="0" collapsed="false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0.4" hidden="false" customHeight="true" outlineLevel="0" collapsed="false">
      <c r="A2" s="2" t="s">
        <v>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9.75" hidden="false" customHeight="true" outlineLevel="0" collapsed="false">
      <c r="A4" s="9" t="s">
        <v>37</v>
      </c>
      <c r="B4" s="9" t="s">
        <v>38</v>
      </c>
      <c r="C4" s="9" t="s">
        <v>39</v>
      </c>
      <c r="D4" s="9" t="s">
        <v>40</v>
      </c>
      <c r="E4" s="9" t="s">
        <v>41</v>
      </c>
      <c r="F4" s="9" t="s">
        <v>42</v>
      </c>
      <c r="G4" s="9" t="s">
        <v>43</v>
      </c>
      <c r="H4" s="9" t="s">
        <v>44</v>
      </c>
      <c r="I4" s="9" t="s">
        <v>45</v>
      </c>
      <c r="J4" s="9" t="s">
        <v>46</v>
      </c>
      <c r="K4" s="9" t="s">
        <v>47</v>
      </c>
      <c r="L4" s="9" t="s">
        <v>48</v>
      </c>
    </row>
    <row r="5" customFormat="false" ht="43.25" hidden="false" customHeight="false" outlineLevel="0" collapsed="false">
      <c r="A5" s="10" t="n">
        <v>1</v>
      </c>
      <c r="B5" s="10" t="s">
        <v>49</v>
      </c>
      <c r="C5" s="10" t="s">
        <v>50</v>
      </c>
      <c r="D5" s="10" t="s">
        <v>51</v>
      </c>
      <c r="E5" s="10" t="s">
        <v>52</v>
      </c>
      <c r="F5" s="10" t="s">
        <v>53</v>
      </c>
      <c r="G5" s="10"/>
      <c r="H5" s="10"/>
      <c r="I5" s="10" t="s">
        <v>54</v>
      </c>
      <c r="J5" s="10"/>
      <c r="K5" s="10"/>
      <c r="L5" s="10"/>
    </row>
    <row r="6" customFormat="false" ht="32.8" hidden="false" customHeight="false" outlineLevel="0" collapsed="false">
      <c r="A6" s="11" t="n">
        <v>2</v>
      </c>
      <c r="B6" s="11" t="s">
        <v>55</v>
      </c>
      <c r="C6" s="11" t="s">
        <v>56</v>
      </c>
      <c r="D6" s="11" t="s">
        <v>57</v>
      </c>
      <c r="E6" s="11" t="s">
        <v>58</v>
      </c>
      <c r="F6" s="11" t="s">
        <v>59</v>
      </c>
      <c r="G6" s="11"/>
      <c r="H6" s="11"/>
      <c r="I6" s="11" t="s">
        <v>54</v>
      </c>
      <c r="J6" s="11"/>
      <c r="K6" s="11"/>
      <c r="L6" s="11"/>
    </row>
    <row r="7" customFormat="false" ht="32.8" hidden="false" customHeight="false" outlineLevel="0" collapsed="false">
      <c r="A7" s="10" t="n">
        <v>3</v>
      </c>
      <c r="B7" s="10" t="s">
        <v>60</v>
      </c>
      <c r="C7" s="10" t="s">
        <v>61</v>
      </c>
      <c r="D7" s="10" t="s">
        <v>62</v>
      </c>
      <c r="E7" s="10" t="s">
        <v>63</v>
      </c>
      <c r="F7" s="10" t="s">
        <v>64</v>
      </c>
      <c r="G7" s="10"/>
      <c r="H7" s="10"/>
      <c r="I7" s="10" t="s">
        <v>54</v>
      </c>
      <c r="J7" s="10"/>
      <c r="K7" s="10"/>
      <c r="L7" s="10"/>
    </row>
    <row r="8" customFormat="false" ht="32.8" hidden="false" customHeight="false" outlineLevel="0" collapsed="false">
      <c r="A8" s="11" t="n">
        <v>4</v>
      </c>
      <c r="B8" s="11" t="s">
        <v>65</v>
      </c>
      <c r="C8" s="11" t="s">
        <v>61</v>
      </c>
      <c r="D8" s="11" t="s">
        <v>66</v>
      </c>
      <c r="E8" s="11" t="s">
        <v>67</v>
      </c>
      <c r="F8" s="11" t="s">
        <v>68</v>
      </c>
      <c r="G8" s="11"/>
      <c r="H8" s="11"/>
      <c r="I8" s="11" t="s">
        <v>54</v>
      </c>
      <c r="J8" s="11"/>
      <c r="K8" s="11"/>
      <c r="L8" s="11"/>
    </row>
    <row r="9" customFormat="false" ht="32.8" hidden="false" customHeight="false" outlineLevel="0" collapsed="false">
      <c r="A9" s="10" t="n">
        <v>5</v>
      </c>
      <c r="B9" s="10" t="s">
        <v>69</v>
      </c>
      <c r="C9" s="10" t="s">
        <v>70</v>
      </c>
      <c r="D9" s="10" t="s">
        <v>71</v>
      </c>
      <c r="E9" s="10" t="s">
        <v>72</v>
      </c>
      <c r="F9" s="10" t="s">
        <v>73</v>
      </c>
      <c r="G9" s="10"/>
      <c r="H9" s="10"/>
      <c r="I9" s="10" t="s">
        <v>54</v>
      </c>
      <c r="J9" s="10"/>
      <c r="K9" s="10"/>
      <c r="L9" s="10"/>
    </row>
    <row r="10" customFormat="false" ht="32.8" hidden="false" customHeight="false" outlineLevel="0" collapsed="false">
      <c r="A10" s="11" t="n">
        <v>6</v>
      </c>
      <c r="B10" s="11" t="s">
        <v>74</v>
      </c>
      <c r="C10" s="11" t="s">
        <v>70</v>
      </c>
      <c r="D10" s="11" t="s">
        <v>75</v>
      </c>
      <c r="E10" s="11" t="s">
        <v>76</v>
      </c>
      <c r="F10" s="11" t="s">
        <v>77</v>
      </c>
      <c r="G10" s="11"/>
      <c r="H10" s="11"/>
      <c r="I10" s="11" t="s">
        <v>54</v>
      </c>
      <c r="J10" s="11"/>
      <c r="K10" s="11"/>
      <c r="L10" s="11"/>
    </row>
    <row r="11" customFormat="false" ht="22.35" hidden="false" customHeight="false" outlineLevel="0" collapsed="false">
      <c r="A11" s="10" t="n">
        <v>7</v>
      </c>
      <c r="B11" s="10" t="s">
        <v>78</v>
      </c>
      <c r="C11" s="10" t="s">
        <v>79</v>
      </c>
      <c r="D11" s="10" t="s">
        <v>80</v>
      </c>
      <c r="E11" s="10" t="s">
        <v>81</v>
      </c>
      <c r="F11" s="10" t="s">
        <v>82</v>
      </c>
      <c r="G11" s="10"/>
      <c r="H11" s="10"/>
      <c r="I11" s="10" t="s">
        <v>54</v>
      </c>
      <c r="J11" s="10"/>
      <c r="K11" s="10"/>
      <c r="L11" s="10"/>
    </row>
    <row r="12" customFormat="false" ht="32.8" hidden="false" customHeight="false" outlineLevel="0" collapsed="false">
      <c r="A12" s="11" t="n">
        <v>8</v>
      </c>
      <c r="B12" s="11" t="s">
        <v>83</v>
      </c>
      <c r="C12" s="11" t="s">
        <v>84</v>
      </c>
      <c r="D12" s="11" t="s">
        <v>85</v>
      </c>
      <c r="E12" s="11" t="s">
        <v>86</v>
      </c>
      <c r="F12" s="11" t="s">
        <v>87</v>
      </c>
      <c r="G12" s="11"/>
      <c r="H12" s="11"/>
      <c r="I12" s="11" t="s">
        <v>54</v>
      </c>
      <c r="J12" s="11"/>
      <c r="K12" s="11"/>
      <c r="L12" s="11"/>
    </row>
    <row r="13" customFormat="false" ht="32.8" hidden="false" customHeight="false" outlineLevel="0" collapsed="false">
      <c r="A13" s="10" t="n">
        <v>9</v>
      </c>
      <c r="B13" s="10" t="s">
        <v>88</v>
      </c>
      <c r="C13" s="10" t="s">
        <v>89</v>
      </c>
      <c r="D13" s="10" t="s">
        <v>90</v>
      </c>
      <c r="E13" s="10" t="s">
        <v>91</v>
      </c>
      <c r="F13" s="10" t="s">
        <v>92</v>
      </c>
      <c r="G13" s="10"/>
      <c r="H13" s="10"/>
      <c r="I13" s="10" t="s">
        <v>54</v>
      </c>
      <c r="J13" s="10"/>
      <c r="K13" s="10"/>
      <c r="L13" s="10"/>
    </row>
    <row r="14" customFormat="false" ht="32.8" hidden="false" customHeight="false" outlineLevel="0" collapsed="false">
      <c r="A14" s="11" t="n">
        <v>10</v>
      </c>
      <c r="B14" s="11" t="s">
        <v>93</v>
      </c>
      <c r="C14" s="11" t="s">
        <v>94</v>
      </c>
      <c r="D14" s="11" t="s">
        <v>95</v>
      </c>
      <c r="E14" s="11" t="s">
        <v>96</v>
      </c>
      <c r="F14" s="11" t="s">
        <v>97</v>
      </c>
      <c r="G14" s="11"/>
      <c r="H14" s="11"/>
      <c r="I14" s="11" t="s">
        <v>54</v>
      </c>
      <c r="J14" s="11"/>
      <c r="K14" s="11"/>
      <c r="L14" s="11"/>
    </row>
    <row r="15" customFormat="false" ht="32.8" hidden="false" customHeight="false" outlineLevel="0" collapsed="false">
      <c r="A15" s="10" t="n">
        <v>11</v>
      </c>
      <c r="B15" s="10" t="s">
        <v>98</v>
      </c>
      <c r="C15" s="10" t="s">
        <v>99</v>
      </c>
      <c r="D15" s="10" t="s">
        <v>100</v>
      </c>
      <c r="E15" s="10" t="s">
        <v>101</v>
      </c>
      <c r="F15" s="10" t="s">
        <v>102</v>
      </c>
      <c r="G15" s="10"/>
      <c r="H15" s="10"/>
      <c r="I15" s="10" t="s">
        <v>54</v>
      </c>
      <c r="J15" s="10"/>
      <c r="K15" s="10"/>
      <c r="L15" s="10"/>
    </row>
    <row r="16" customFormat="false" ht="32.8" hidden="false" customHeight="false" outlineLevel="0" collapsed="false">
      <c r="A16" s="11" t="n">
        <v>12</v>
      </c>
      <c r="B16" s="11" t="s">
        <v>103</v>
      </c>
      <c r="C16" s="11" t="s">
        <v>99</v>
      </c>
      <c r="D16" s="11" t="s">
        <v>104</v>
      </c>
      <c r="E16" s="11" t="s">
        <v>105</v>
      </c>
      <c r="F16" s="11" t="s">
        <v>106</v>
      </c>
      <c r="G16" s="11"/>
      <c r="H16" s="11"/>
      <c r="I16" s="11" t="s">
        <v>54</v>
      </c>
      <c r="J16" s="11"/>
      <c r="K16" s="11"/>
      <c r="L16" s="11"/>
    </row>
    <row r="17" customFormat="false" ht="32.8" hidden="false" customHeight="false" outlineLevel="0" collapsed="false">
      <c r="A17" s="10" t="n">
        <v>13</v>
      </c>
      <c r="B17" s="10" t="s">
        <v>107</v>
      </c>
      <c r="C17" s="10" t="s">
        <v>108</v>
      </c>
      <c r="D17" s="10" t="s">
        <v>109</v>
      </c>
      <c r="E17" s="10" t="s">
        <v>110</v>
      </c>
      <c r="F17" s="10" t="s">
        <v>111</v>
      </c>
      <c r="G17" s="10"/>
      <c r="H17" s="10"/>
      <c r="I17" s="10" t="s">
        <v>54</v>
      </c>
      <c r="J17" s="10"/>
      <c r="K17" s="10"/>
      <c r="L17" s="10"/>
    </row>
    <row r="18" customFormat="false" ht="32.8" hidden="false" customHeight="false" outlineLevel="0" collapsed="false">
      <c r="A18" s="11" t="n">
        <v>14</v>
      </c>
      <c r="B18" s="11" t="s">
        <v>112</v>
      </c>
      <c r="C18" s="11" t="s">
        <v>113</v>
      </c>
      <c r="D18" s="11" t="s">
        <v>114</v>
      </c>
      <c r="E18" s="11" t="s">
        <v>115</v>
      </c>
      <c r="F18" s="11" t="s">
        <v>116</v>
      </c>
      <c r="G18" s="11"/>
      <c r="H18" s="11"/>
      <c r="I18" s="11" t="s">
        <v>54</v>
      </c>
      <c r="J18" s="11"/>
      <c r="K18" s="11"/>
      <c r="L18" s="11"/>
    </row>
    <row r="19" customFormat="false" ht="43.25" hidden="false" customHeight="false" outlineLevel="0" collapsed="false">
      <c r="A19" s="10" t="n">
        <v>15</v>
      </c>
      <c r="B19" s="10" t="s">
        <v>117</v>
      </c>
      <c r="C19" s="10" t="s">
        <v>118</v>
      </c>
      <c r="D19" s="10" t="s">
        <v>119</v>
      </c>
      <c r="E19" s="10" t="s">
        <v>120</v>
      </c>
      <c r="F19" s="10" t="s">
        <v>121</v>
      </c>
      <c r="G19" s="10"/>
      <c r="H19" s="10"/>
      <c r="I19" s="10" t="s">
        <v>54</v>
      </c>
      <c r="J19" s="10"/>
      <c r="K19" s="10"/>
      <c r="L19" s="10"/>
    </row>
    <row r="20" customFormat="false" ht="32.8" hidden="false" customHeight="false" outlineLevel="0" collapsed="false">
      <c r="A20" s="11" t="n">
        <v>16</v>
      </c>
      <c r="B20" s="11" t="s">
        <v>122</v>
      </c>
      <c r="C20" s="11" t="s">
        <v>118</v>
      </c>
      <c r="D20" s="11" t="s">
        <v>123</v>
      </c>
      <c r="E20" s="11" t="s">
        <v>124</v>
      </c>
      <c r="F20" s="11" t="s">
        <v>125</v>
      </c>
      <c r="G20" s="11"/>
      <c r="H20" s="11"/>
      <c r="I20" s="11" t="s">
        <v>54</v>
      </c>
      <c r="J20" s="11"/>
      <c r="K20" s="11"/>
      <c r="L20" s="11"/>
    </row>
    <row r="21" customFormat="false" ht="32.8" hidden="false" customHeight="false" outlineLevel="0" collapsed="false">
      <c r="A21" s="10" t="n">
        <v>17</v>
      </c>
      <c r="B21" s="10" t="s">
        <v>126</v>
      </c>
      <c r="C21" s="10" t="s">
        <v>127</v>
      </c>
      <c r="D21" s="10" t="s">
        <v>128</v>
      </c>
      <c r="E21" s="10" t="s">
        <v>129</v>
      </c>
      <c r="F21" s="10" t="s">
        <v>130</v>
      </c>
      <c r="G21" s="10"/>
      <c r="H21" s="10"/>
      <c r="I21" s="10" t="s">
        <v>54</v>
      </c>
      <c r="J21" s="10"/>
      <c r="K21" s="10"/>
      <c r="L21" s="10"/>
    </row>
    <row r="22" customFormat="false" ht="32.8" hidden="false" customHeight="false" outlineLevel="0" collapsed="false">
      <c r="A22" s="11" t="n">
        <v>18</v>
      </c>
      <c r="B22" s="11" t="s">
        <v>131</v>
      </c>
      <c r="C22" s="11" t="s">
        <v>132</v>
      </c>
      <c r="D22" s="11" t="s">
        <v>133</v>
      </c>
      <c r="E22" s="11" t="s">
        <v>134</v>
      </c>
      <c r="F22" s="11" t="s">
        <v>135</v>
      </c>
      <c r="G22" s="11"/>
      <c r="H22" s="11"/>
      <c r="I22" s="11" t="s">
        <v>54</v>
      </c>
      <c r="J22" s="11"/>
      <c r="K22" s="11"/>
      <c r="L22" s="11"/>
    </row>
    <row r="23" customFormat="false" ht="32.8" hidden="false" customHeight="false" outlineLevel="0" collapsed="false">
      <c r="A23" s="10" t="n">
        <v>19</v>
      </c>
      <c r="B23" s="10" t="s">
        <v>136</v>
      </c>
      <c r="C23" s="10" t="s">
        <v>137</v>
      </c>
      <c r="D23" s="10" t="s">
        <v>138</v>
      </c>
      <c r="E23" s="10" t="s">
        <v>139</v>
      </c>
      <c r="F23" s="10" t="s">
        <v>140</v>
      </c>
      <c r="G23" s="10"/>
      <c r="H23" s="10"/>
      <c r="I23" s="10" t="s">
        <v>54</v>
      </c>
      <c r="J23" s="10"/>
      <c r="K23" s="10"/>
      <c r="L23" s="10"/>
    </row>
    <row r="24" customFormat="false" ht="32.8" hidden="false" customHeight="false" outlineLevel="0" collapsed="false">
      <c r="A24" s="11" t="n">
        <v>20</v>
      </c>
      <c r="B24" s="11" t="s">
        <v>141</v>
      </c>
      <c r="C24" s="11" t="s">
        <v>142</v>
      </c>
      <c r="D24" s="11" t="s">
        <v>143</v>
      </c>
      <c r="E24" s="11" t="s">
        <v>144</v>
      </c>
      <c r="F24" s="11" t="s">
        <v>145</v>
      </c>
      <c r="G24" s="11"/>
      <c r="H24" s="11"/>
      <c r="I24" s="11" t="s">
        <v>54</v>
      </c>
      <c r="J24" s="11"/>
      <c r="K24" s="11"/>
      <c r="L24" s="11"/>
    </row>
    <row r="25" customFormat="false" ht="32.8" hidden="false" customHeight="false" outlineLevel="0" collapsed="false">
      <c r="A25" s="10" t="n">
        <v>21</v>
      </c>
      <c r="B25" s="10" t="s">
        <v>146</v>
      </c>
      <c r="C25" s="10" t="s">
        <v>147</v>
      </c>
      <c r="D25" s="10" t="s">
        <v>148</v>
      </c>
      <c r="E25" s="10" t="s">
        <v>149</v>
      </c>
      <c r="F25" s="10" t="s">
        <v>150</v>
      </c>
      <c r="G25" s="10"/>
      <c r="H25" s="10"/>
      <c r="I25" s="10" t="s">
        <v>54</v>
      </c>
      <c r="J25" s="10"/>
      <c r="K25" s="10"/>
      <c r="L25" s="10"/>
    </row>
    <row r="26" customFormat="false" ht="22.35" hidden="false" customHeight="false" outlineLevel="0" collapsed="false">
      <c r="A26" s="11" t="n">
        <v>22</v>
      </c>
      <c r="B26" s="11" t="s">
        <v>151</v>
      </c>
      <c r="C26" s="11" t="s">
        <v>152</v>
      </c>
      <c r="D26" s="11" t="s">
        <v>153</v>
      </c>
      <c r="E26" s="11" t="s">
        <v>154</v>
      </c>
      <c r="F26" s="11" t="s">
        <v>155</v>
      </c>
      <c r="G26" s="11"/>
      <c r="H26" s="11"/>
      <c r="I26" s="11" t="s">
        <v>54</v>
      </c>
      <c r="J26" s="11"/>
      <c r="K26" s="11"/>
      <c r="L26" s="11"/>
    </row>
    <row r="27" customFormat="false" ht="32.8" hidden="false" customHeight="false" outlineLevel="0" collapsed="false">
      <c r="A27" s="10" t="n">
        <v>23</v>
      </c>
      <c r="B27" s="10" t="s">
        <v>156</v>
      </c>
      <c r="C27" s="10" t="s">
        <v>157</v>
      </c>
      <c r="D27" s="10" t="s">
        <v>158</v>
      </c>
      <c r="E27" s="10" t="s">
        <v>159</v>
      </c>
      <c r="F27" s="10" t="s">
        <v>160</v>
      </c>
      <c r="G27" s="10"/>
      <c r="H27" s="10"/>
      <c r="I27" s="10" t="s">
        <v>54</v>
      </c>
      <c r="J27" s="10"/>
      <c r="K27" s="10"/>
      <c r="L27" s="10"/>
    </row>
    <row r="28" customFormat="false" ht="32.8" hidden="false" customHeight="false" outlineLevel="0" collapsed="false">
      <c r="A28" s="11" t="n">
        <v>24</v>
      </c>
      <c r="B28" s="11" t="s">
        <v>161</v>
      </c>
      <c r="C28" s="11" t="s">
        <v>162</v>
      </c>
      <c r="D28" s="11" t="s">
        <v>163</v>
      </c>
      <c r="E28" s="11" t="s">
        <v>164</v>
      </c>
      <c r="F28" s="11" t="s">
        <v>165</v>
      </c>
      <c r="G28" s="11"/>
      <c r="H28" s="11"/>
      <c r="I28" s="11" t="s">
        <v>54</v>
      </c>
      <c r="J28" s="11"/>
      <c r="K28" s="11"/>
      <c r="L28" s="11"/>
    </row>
    <row r="29" customFormat="false" ht="32.8" hidden="false" customHeight="false" outlineLevel="0" collapsed="false">
      <c r="A29" s="10" t="n">
        <v>25</v>
      </c>
      <c r="B29" s="10" t="s">
        <v>166</v>
      </c>
      <c r="C29" s="10" t="s">
        <v>167</v>
      </c>
      <c r="D29" s="10" t="s">
        <v>168</v>
      </c>
      <c r="E29" s="10" t="s">
        <v>169</v>
      </c>
      <c r="F29" s="10" t="s">
        <v>170</v>
      </c>
      <c r="G29" s="10"/>
      <c r="H29" s="10"/>
      <c r="I29" s="10" t="s">
        <v>54</v>
      </c>
      <c r="J29" s="10"/>
      <c r="K29" s="10"/>
      <c r="L29" s="10"/>
    </row>
    <row r="30" customFormat="false" ht="43.25" hidden="false" customHeight="false" outlineLevel="0" collapsed="false">
      <c r="A30" s="11" t="n">
        <v>26</v>
      </c>
      <c r="B30" s="11" t="s">
        <v>171</v>
      </c>
      <c r="C30" s="11" t="s">
        <v>172</v>
      </c>
      <c r="D30" s="11" t="s">
        <v>173</v>
      </c>
      <c r="E30" s="11" t="s">
        <v>174</v>
      </c>
      <c r="F30" s="11" t="s">
        <v>175</v>
      </c>
      <c r="G30" s="11"/>
      <c r="H30" s="11"/>
      <c r="I30" s="11" t="s">
        <v>54</v>
      </c>
      <c r="J30" s="11"/>
      <c r="K30" s="11"/>
      <c r="L30" s="11"/>
    </row>
    <row r="31" customFormat="false" ht="32.8" hidden="false" customHeight="false" outlineLevel="0" collapsed="false">
      <c r="A31" s="10" t="n">
        <v>27</v>
      </c>
      <c r="B31" s="10" t="s">
        <v>176</v>
      </c>
      <c r="C31" s="10" t="s">
        <v>177</v>
      </c>
      <c r="D31" s="10" t="s">
        <v>178</v>
      </c>
      <c r="E31" s="10" t="s">
        <v>179</v>
      </c>
      <c r="F31" s="10" t="s">
        <v>180</v>
      </c>
      <c r="G31" s="10"/>
      <c r="H31" s="10"/>
      <c r="I31" s="10" t="s">
        <v>54</v>
      </c>
      <c r="J31" s="10"/>
      <c r="K31" s="10"/>
      <c r="L31" s="10"/>
    </row>
    <row r="32" customFormat="false" ht="32.8" hidden="false" customHeight="false" outlineLevel="0" collapsed="false">
      <c r="A32" s="11" t="n">
        <v>28</v>
      </c>
      <c r="B32" s="11" t="s">
        <v>181</v>
      </c>
      <c r="C32" s="11" t="s">
        <v>182</v>
      </c>
      <c r="D32" s="11" t="s">
        <v>183</v>
      </c>
      <c r="E32" s="11" t="s">
        <v>184</v>
      </c>
      <c r="F32" s="11" t="s">
        <v>185</v>
      </c>
      <c r="G32" s="11"/>
      <c r="H32" s="11"/>
      <c r="I32" s="11" t="s">
        <v>54</v>
      </c>
      <c r="J32" s="11"/>
      <c r="K32" s="11"/>
      <c r="L32" s="11"/>
    </row>
    <row r="33" customFormat="false" ht="32.8" hidden="false" customHeight="false" outlineLevel="0" collapsed="false">
      <c r="A33" s="10" t="n">
        <v>29</v>
      </c>
      <c r="B33" s="10" t="s">
        <v>186</v>
      </c>
      <c r="C33" s="10" t="s">
        <v>187</v>
      </c>
      <c r="D33" s="10" t="s">
        <v>188</v>
      </c>
      <c r="E33" s="10" t="s">
        <v>189</v>
      </c>
      <c r="F33" s="10" t="s">
        <v>190</v>
      </c>
      <c r="G33" s="10"/>
      <c r="H33" s="10"/>
      <c r="I33" s="10" t="s">
        <v>54</v>
      </c>
      <c r="J33" s="10"/>
      <c r="K33" s="10"/>
      <c r="L33" s="10"/>
    </row>
    <row r="34" customFormat="false" ht="32.8" hidden="false" customHeight="false" outlineLevel="0" collapsed="false">
      <c r="A34" s="11" t="n">
        <v>30</v>
      </c>
      <c r="B34" s="11" t="s">
        <v>191</v>
      </c>
      <c r="C34" s="11" t="s">
        <v>192</v>
      </c>
      <c r="D34" s="11" t="s">
        <v>193</v>
      </c>
      <c r="E34" s="11" t="s">
        <v>194</v>
      </c>
      <c r="F34" s="11" t="s">
        <v>195</v>
      </c>
      <c r="G34" s="11"/>
      <c r="H34" s="11"/>
      <c r="I34" s="11" t="s">
        <v>54</v>
      </c>
      <c r="J34" s="11"/>
      <c r="K34" s="11"/>
      <c r="L34" s="11"/>
    </row>
    <row r="35" customFormat="false" ht="32.8" hidden="false" customHeight="false" outlineLevel="0" collapsed="false">
      <c r="A35" s="10" t="n">
        <v>31</v>
      </c>
      <c r="B35" s="10" t="s">
        <v>196</v>
      </c>
      <c r="C35" s="10" t="s">
        <v>197</v>
      </c>
      <c r="D35" s="10" t="s">
        <v>198</v>
      </c>
      <c r="E35" s="10" t="s">
        <v>199</v>
      </c>
      <c r="F35" s="10" t="s">
        <v>200</v>
      </c>
      <c r="G35" s="10"/>
      <c r="H35" s="10"/>
      <c r="I35" s="10" t="s">
        <v>54</v>
      </c>
      <c r="J35" s="10"/>
      <c r="K35" s="10"/>
      <c r="L35" s="10"/>
    </row>
    <row r="36" customFormat="false" ht="32.8" hidden="false" customHeight="false" outlineLevel="0" collapsed="false">
      <c r="A36" s="11" t="n">
        <v>32</v>
      </c>
      <c r="B36" s="11" t="s">
        <v>201</v>
      </c>
      <c r="C36" s="11" t="s">
        <v>202</v>
      </c>
      <c r="D36" s="11" t="s">
        <v>203</v>
      </c>
      <c r="E36" s="11" t="s">
        <v>204</v>
      </c>
      <c r="F36" s="11" t="s">
        <v>205</v>
      </c>
      <c r="G36" s="11"/>
      <c r="H36" s="11"/>
      <c r="I36" s="11" t="s">
        <v>54</v>
      </c>
      <c r="J36" s="11"/>
      <c r="K36" s="11"/>
      <c r="L36" s="11"/>
    </row>
    <row r="37" customFormat="false" ht="32.8" hidden="false" customHeight="false" outlineLevel="0" collapsed="false">
      <c r="A37" s="10" t="n">
        <v>33</v>
      </c>
      <c r="B37" s="10" t="s">
        <v>206</v>
      </c>
      <c r="C37" s="10" t="s">
        <v>207</v>
      </c>
      <c r="D37" s="10" t="s">
        <v>208</v>
      </c>
      <c r="E37" s="10" t="s">
        <v>209</v>
      </c>
      <c r="F37" s="10" t="s">
        <v>210</v>
      </c>
      <c r="G37" s="10"/>
      <c r="H37" s="10"/>
      <c r="I37" s="10" t="s">
        <v>54</v>
      </c>
      <c r="J37" s="10"/>
      <c r="K37" s="10"/>
      <c r="L37" s="10"/>
    </row>
    <row r="38" customFormat="false" ht="32.8" hidden="false" customHeight="false" outlineLevel="0" collapsed="false">
      <c r="A38" s="11" t="n">
        <v>34</v>
      </c>
      <c r="B38" s="11" t="s">
        <v>211</v>
      </c>
      <c r="C38" s="11" t="s">
        <v>212</v>
      </c>
      <c r="D38" s="11" t="s">
        <v>213</v>
      </c>
      <c r="E38" s="11" t="s">
        <v>214</v>
      </c>
      <c r="F38" s="11" t="s">
        <v>215</v>
      </c>
      <c r="G38" s="11"/>
      <c r="H38" s="11"/>
      <c r="I38" s="11" t="s">
        <v>54</v>
      </c>
      <c r="J38" s="11"/>
      <c r="K38" s="11"/>
      <c r="L38" s="11"/>
    </row>
    <row r="39" customFormat="false" ht="32.8" hidden="false" customHeight="false" outlineLevel="0" collapsed="false">
      <c r="A39" s="10" t="n">
        <v>35</v>
      </c>
      <c r="B39" s="10" t="s">
        <v>216</v>
      </c>
      <c r="C39" s="10" t="s">
        <v>217</v>
      </c>
      <c r="D39" s="10" t="s">
        <v>218</v>
      </c>
      <c r="E39" s="10" t="s">
        <v>219</v>
      </c>
      <c r="F39" s="10" t="s">
        <v>220</v>
      </c>
      <c r="G39" s="10"/>
      <c r="H39" s="10"/>
      <c r="I39" s="10" t="s">
        <v>54</v>
      </c>
      <c r="J39" s="10"/>
      <c r="K39" s="10"/>
      <c r="L39" s="10"/>
    </row>
    <row r="40" customFormat="false" ht="43.25" hidden="false" customHeight="false" outlineLevel="0" collapsed="false">
      <c r="A40" s="11" t="n">
        <v>36</v>
      </c>
      <c r="B40" s="11" t="s">
        <v>221</v>
      </c>
      <c r="C40" s="11" t="s">
        <v>222</v>
      </c>
      <c r="D40" s="11" t="s">
        <v>223</v>
      </c>
      <c r="E40" s="11" t="s">
        <v>224</v>
      </c>
      <c r="F40" s="11" t="s">
        <v>225</v>
      </c>
      <c r="G40" s="11"/>
      <c r="H40" s="11"/>
      <c r="I40" s="11" t="s">
        <v>54</v>
      </c>
      <c r="J40" s="11"/>
      <c r="K40" s="11"/>
      <c r="L40" s="11"/>
    </row>
    <row r="41" customFormat="false" ht="32.8" hidden="false" customHeight="false" outlineLevel="0" collapsed="false">
      <c r="A41" s="10" t="n">
        <v>37</v>
      </c>
      <c r="B41" s="10" t="s">
        <v>226</v>
      </c>
      <c r="C41" s="10" t="s">
        <v>227</v>
      </c>
      <c r="D41" s="10" t="s">
        <v>228</v>
      </c>
      <c r="E41" s="10" t="s">
        <v>229</v>
      </c>
      <c r="F41" s="10" t="s">
        <v>230</v>
      </c>
      <c r="G41" s="10"/>
      <c r="H41" s="10"/>
      <c r="I41" s="10" t="s">
        <v>54</v>
      </c>
      <c r="J41" s="10"/>
      <c r="K41" s="10"/>
      <c r="L41" s="10"/>
    </row>
    <row r="42" customFormat="false" ht="43.25" hidden="false" customHeight="false" outlineLevel="0" collapsed="false">
      <c r="A42" s="11" t="n">
        <v>38</v>
      </c>
      <c r="B42" s="11" t="s">
        <v>231</v>
      </c>
      <c r="C42" s="11" t="s">
        <v>232</v>
      </c>
      <c r="D42" s="11" t="s">
        <v>233</v>
      </c>
      <c r="E42" s="11" t="s">
        <v>234</v>
      </c>
      <c r="F42" s="11" t="s">
        <v>235</v>
      </c>
      <c r="G42" s="11"/>
      <c r="H42" s="11"/>
      <c r="I42" s="11" t="s">
        <v>54</v>
      </c>
      <c r="J42" s="11"/>
      <c r="K42" s="11"/>
      <c r="L42" s="11"/>
    </row>
  </sheetData>
  <mergeCells count="2">
    <mergeCell ref="A1:L1"/>
    <mergeCell ref="A2:L2"/>
  </mergeCells>
  <dataValidations count="2">
    <dataValidation allowBlank="true" error="Pilih nilai yang tersedia untuk nilai." errorStyle="stop" errorTitle="Pilihan tidak valid" operator="equal" showDropDown="false" showErrorMessage="true" showInputMessage="false" sqref="H5:H42" type="list">
      <formula1>$referensi.$b$2:$B$6</formula1>
      <formula2>0</formula2>
    </dataValidation>
    <dataValidation allowBlank="true" error="Pilih nilai yang tersedia untuk status acceptance." errorStyle="stop" errorTitle="Pilihan tidak valid" operator="equal" showDropDown="false" showErrorMessage="true" showInputMessage="false" sqref="I5:I42" type="list">
      <formula1>$referensi.$a$2:$A$6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59"/>
    <col collapsed="false" customWidth="true" hidden="false" outlineLevel="0" max="2" min="2" style="0" width="8.67"/>
    <col collapsed="false" customWidth="true" hidden="false" outlineLevel="0" max="3" min="3" style="0" width="9.69"/>
    <col collapsed="false" customWidth="true" hidden="false" outlineLevel="0" max="4" min="4" style="0" width="12.25"/>
    <col collapsed="false" customWidth="true" hidden="false" outlineLevel="0" max="5" min="5" style="0" width="34.18"/>
    <col collapsed="false" customWidth="true" hidden="false" outlineLevel="0" max="6" min="6" style="0" width="9.69"/>
    <col collapsed="false" customWidth="true" hidden="false" outlineLevel="0" max="7" min="7" style="0" width="29.08"/>
    <col collapsed="false" customWidth="true" hidden="false" outlineLevel="0" max="8" min="8" style="0" width="11.22"/>
    <col collapsed="false" customWidth="true" hidden="false" outlineLevel="0" max="9" min="9" style="0" width="12.75"/>
    <col collapsed="false" customWidth="true" hidden="false" outlineLevel="0" max="10" min="10" style="0" width="11.22"/>
    <col collapsed="false" customWidth="true" hidden="false" outlineLevel="0" max="11" min="11" style="0" width="28.06"/>
  </cols>
  <sheetData>
    <row r="1" customFormat="false" ht="29.75" hidden="false" customHeight="true" outlineLevel="0" collapsed="false">
      <c r="A1" s="1" t="s">
        <v>236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0.4" hidden="false" customHeight="true" outlineLevel="0" collapsed="false">
      <c r="A2" s="2" t="s">
        <v>237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9.75" hidden="false" customHeight="true" outlineLevel="0" collapsed="false">
      <c r="A4" s="9" t="s">
        <v>37</v>
      </c>
      <c r="B4" s="9" t="s">
        <v>238</v>
      </c>
      <c r="C4" s="9" t="s">
        <v>239</v>
      </c>
      <c r="D4" s="9" t="s">
        <v>240</v>
      </c>
      <c r="E4" s="9" t="s">
        <v>241</v>
      </c>
      <c r="F4" s="9" t="s">
        <v>242</v>
      </c>
      <c r="G4" s="9" t="s">
        <v>243</v>
      </c>
      <c r="H4" s="9" t="s">
        <v>244</v>
      </c>
      <c r="I4" s="9" t="s">
        <v>245</v>
      </c>
      <c r="J4" s="9" t="s">
        <v>246</v>
      </c>
      <c r="K4" s="9" t="s">
        <v>247</v>
      </c>
    </row>
    <row r="5" customFormat="false" ht="12.8" hidden="false" customHeight="false" outlineLevel="0" collapsed="false">
      <c r="A5" s="10" t="n">
        <v>1</v>
      </c>
      <c r="B5" s="10" t="s">
        <v>248</v>
      </c>
      <c r="C5" s="10"/>
      <c r="D5" s="10"/>
      <c r="E5" s="10"/>
      <c r="F5" s="10"/>
      <c r="G5" s="10"/>
      <c r="H5" s="10"/>
      <c r="I5" s="10"/>
      <c r="J5" s="10" t="s">
        <v>249</v>
      </c>
      <c r="K5" s="10"/>
    </row>
    <row r="6" customFormat="false" ht="12.8" hidden="false" customHeight="false" outlineLevel="0" collapsed="false">
      <c r="A6" s="11" t="n">
        <v>2</v>
      </c>
      <c r="B6" s="11" t="s">
        <v>250</v>
      </c>
      <c r="C6" s="11"/>
      <c r="D6" s="11"/>
      <c r="E6" s="11"/>
      <c r="F6" s="11"/>
      <c r="G6" s="11"/>
      <c r="H6" s="11"/>
      <c r="I6" s="11"/>
      <c r="J6" s="11" t="s">
        <v>249</v>
      </c>
      <c r="K6" s="11"/>
    </row>
    <row r="7" customFormat="false" ht="12.8" hidden="false" customHeight="false" outlineLevel="0" collapsed="false">
      <c r="A7" s="10" t="n">
        <v>3</v>
      </c>
      <c r="B7" s="10" t="s">
        <v>251</v>
      </c>
      <c r="C7" s="10"/>
      <c r="D7" s="10"/>
      <c r="E7" s="10"/>
      <c r="F7" s="10"/>
      <c r="G7" s="10"/>
      <c r="H7" s="10"/>
      <c r="I7" s="10"/>
      <c r="J7" s="10" t="s">
        <v>249</v>
      </c>
      <c r="K7" s="10"/>
    </row>
    <row r="8" customFormat="false" ht="12.8" hidden="false" customHeight="false" outlineLevel="0" collapsed="false">
      <c r="A8" s="11" t="n">
        <v>4</v>
      </c>
      <c r="B8" s="11" t="s">
        <v>252</v>
      </c>
      <c r="C8" s="11"/>
      <c r="D8" s="11"/>
      <c r="E8" s="11"/>
      <c r="F8" s="11"/>
      <c r="G8" s="11"/>
      <c r="H8" s="11"/>
      <c r="I8" s="11"/>
      <c r="J8" s="11" t="s">
        <v>249</v>
      </c>
      <c r="K8" s="11"/>
    </row>
    <row r="9" customFormat="false" ht="12.8" hidden="false" customHeight="false" outlineLevel="0" collapsed="false">
      <c r="A9" s="10" t="n">
        <v>5</v>
      </c>
      <c r="B9" s="10" t="s">
        <v>253</v>
      </c>
      <c r="C9" s="10"/>
      <c r="D9" s="10"/>
      <c r="E9" s="10"/>
      <c r="F9" s="10"/>
      <c r="G9" s="10"/>
      <c r="H9" s="10"/>
      <c r="I9" s="10"/>
      <c r="J9" s="10" t="s">
        <v>249</v>
      </c>
      <c r="K9" s="10"/>
    </row>
    <row r="10" customFormat="false" ht="12.8" hidden="false" customHeight="false" outlineLevel="0" collapsed="false">
      <c r="A10" s="11" t="n">
        <v>6</v>
      </c>
      <c r="B10" s="11" t="s">
        <v>254</v>
      </c>
      <c r="C10" s="11"/>
      <c r="D10" s="11"/>
      <c r="E10" s="11"/>
      <c r="F10" s="11"/>
      <c r="G10" s="11"/>
      <c r="H10" s="11"/>
      <c r="I10" s="11"/>
      <c r="J10" s="11" t="s">
        <v>249</v>
      </c>
      <c r="K10" s="11"/>
    </row>
    <row r="11" customFormat="false" ht="12.8" hidden="false" customHeight="false" outlineLevel="0" collapsed="false">
      <c r="A11" s="10" t="n">
        <v>7</v>
      </c>
      <c r="B11" s="10" t="s">
        <v>255</v>
      </c>
      <c r="C11" s="10"/>
      <c r="D11" s="10"/>
      <c r="E11" s="10"/>
      <c r="F11" s="10"/>
      <c r="G11" s="10"/>
      <c r="H11" s="10"/>
      <c r="I11" s="10"/>
      <c r="J11" s="10" t="s">
        <v>249</v>
      </c>
      <c r="K11" s="10"/>
    </row>
    <row r="12" customFormat="false" ht="12.8" hidden="false" customHeight="false" outlineLevel="0" collapsed="false">
      <c r="A12" s="11" t="n">
        <v>8</v>
      </c>
      <c r="B12" s="11" t="s">
        <v>256</v>
      </c>
      <c r="C12" s="11"/>
      <c r="D12" s="11"/>
      <c r="E12" s="11"/>
      <c r="F12" s="11"/>
      <c r="G12" s="11"/>
      <c r="H12" s="11"/>
      <c r="I12" s="11"/>
      <c r="J12" s="11" t="s">
        <v>249</v>
      </c>
      <c r="K12" s="11"/>
    </row>
    <row r="13" customFormat="false" ht="12.8" hidden="false" customHeight="false" outlineLevel="0" collapsed="false">
      <c r="A13" s="10" t="n">
        <v>9</v>
      </c>
      <c r="B13" s="10" t="s">
        <v>257</v>
      </c>
      <c r="C13" s="10"/>
      <c r="D13" s="10"/>
      <c r="E13" s="10"/>
      <c r="F13" s="10"/>
      <c r="G13" s="10"/>
      <c r="H13" s="10"/>
      <c r="I13" s="10"/>
      <c r="J13" s="10" t="s">
        <v>249</v>
      </c>
      <c r="K13" s="10"/>
    </row>
    <row r="14" customFormat="false" ht="12.8" hidden="false" customHeight="false" outlineLevel="0" collapsed="false">
      <c r="A14" s="11" t="n">
        <v>10</v>
      </c>
      <c r="B14" s="11" t="s">
        <v>258</v>
      </c>
      <c r="C14" s="11"/>
      <c r="D14" s="11"/>
      <c r="E14" s="11"/>
      <c r="F14" s="11"/>
      <c r="G14" s="11"/>
      <c r="H14" s="11"/>
      <c r="I14" s="11"/>
      <c r="J14" s="11" t="s">
        <v>249</v>
      </c>
      <c r="K14" s="11"/>
    </row>
    <row r="15" customFormat="false" ht="12.8" hidden="false" customHeight="false" outlineLevel="0" collapsed="false">
      <c r="A15" s="10" t="n">
        <v>11</v>
      </c>
      <c r="B15" s="10" t="s">
        <v>259</v>
      </c>
      <c r="C15" s="10"/>
      <c r="D15" s="10"/>
      <c r="E15" s="10"/>
      <c r="F15" s="10"/>
      <c r="G15" s="10"/>
      <c r="H15" s="10"/>
      <c r="I15" s="10"/>
      <c r="J15" s="10" t="s">
        <v>249</v>
      </c>
      <c r="K15" s="10"/>
    </row>
    <row r="16" customFormat="false" ht="12.8" hidden="false" customHeight="false" outlineLevel="0" collapsed="false">
      <c r="A16" s="11" t="n">
        <v>12</v>
      </c>
      <c r="B16" s="11" t="s">
        <v>260</v>
      </c>
      <c r="C16" s="11"/>
      <c r="D16" s="11"/>
      <c r="E16" s="11"/>
      <c r="F16" s="11"/>
      <c r="G16" s="11"/>
      <c r="H16" s="11"/>
      <c r="I16" s="11"/>
      <c r="J16" s="11" t="s">
        <v>249</v>
      </c>
      <c r="K16" s="11"/>
    </row>
    <row r="17" customFormat="false" ht="12.8" hidden="false" customHeight="false" outlineLevel="0" collapsed="false">
      <c r="A17" s="10" t="n">
        <v>13</v>
      </c>
      <c r="B17" s="10" t="s">
        <v>261</v>
      </c>
      <c r="C17" s="10"/>
      <c r="D17" s="10"/>
      <c r="E17" s="10"/>
      <c r="F17" s="10"/>
      <c r="G17" s="10"/>
      <c r="H17" s="10"/>
      <c r="I17" s="10"/>
      <c r="J17" s="10" t="s">
        <v>249</v>
      </c>
      <c r="K17" s="10"/>
    </row>
    <row r="18" customFormat="false" ht="12.8" hidden="false" customHeight="false" outlineLevel="0" collapsed="false">
      <c r="A18" s="11" t="n">
        <v>14</v>
      </c>
      <c r="B18" s="11" t="s">
        <v>262</v>
      </c>
      <c r="C18" s="11"/>
      <c r="D18" s="11"/>
      <c r="E18" s="11"/>
      <c r="F18" s="11"/>
      <c r="G18" s="11"/>
      <c r="H18" s="11"/>
      <c r="I18" s="11"/>
      <c r="J18" s="11" t="s">
        <v>249</v>
      </c>
      <c r="K18" s="11"/>
    </row>
    <row r="19" customFormat="false" ht="12.8" hidden="false" customHeight="false" outlineLevel="0" collapsed="false">
      <c r="A19" s="10" t="n">
        <v>15</v>
      </c>
      <c r="B19" s="10" t="s">
        <v>263</v>
      </c>
      <c r="C19" s="10"/>
      <c r="D19" s="10"/>
      <c r="E19" s="10"/>
      <c r="F19" s="10"/>
      <c r="G19" s="10"/>
      <c r="H19" s="10"/>
      <c r="I19" s="10"/>
      <c r="J19" s="10" t="s">
        <v>249</v>
      </c>
      <c r="K19" s="10"/>
    </row>
    <row r="20" customFormat="false" ht="12.8" hidden="false" customHeight="false" outlineLevel="0" collapsed="false">
      <c r="A20" s="11" t="n">
        <v>16</v>
      </c>
      <c r="B20" s="11" t="s">
        <v>264</v>
      </c>
      <c r="C20" s="11"/>
      <c r="D20" s="11"/>
      <c r="E20" s="11"/>
      <c r="F20" s="11"/>
      <c r="G20" s="11"/>
      <c r="H20" s="11"/>
      <c r="I20" s="11"/>
      <c r="J20" s="11" t="s">
        <v>249</v>
      </c>
      <c r="K20" s="11"/>
    </row>
    <row r="21" customFormat="false" ht="12.8" hidden="false" customHeight="false" outlineLevel="0" collapsed="false">
      <c r="A21" s="10" t="n">
        <v>17</v>
      </c>
      <c r="B21" s="10" t="s">
        <v>265</v>
      </c>
      <c r="C21" s="10"/>
      <c r="D21" s="10"/>
      <c r="E21" s="10"/>
      <c r="F21" s="10"/>
      <c r="G21" s="10"/>
      <c r="H21" s="10"/>
      <c r="I21" s="10"/>
      <c r="J21" s="10" t="s">
        <v>249</v>
      </c>
      <c r="K21" s="10"/>
    </row>
    <row r="22" customFormat="false" ht="12.8" hidden="false" customHeight="false" outlineLevel="0" collapsed="false">
      <c r="A22" s="11" t="n">
        <v>18</v>
      </c>
      <c r="B22" s="11" t="s">
        <v>266</v>
      </c>
      <c r="C22" s="11"/>
      <c r="D22" s="11"/>
      <c r="E22" s="11"/>
      <c r="F22" s="11"/>
      <c r="G22" s="11"/>
      <c r="H22" s="11"/>
      <c r="I22" s="11"/>
      <c r="J22" s="11" t="s">
        <v>249</v>
      </c>
      <c r="K22" s="11"/>
    </row>
    <row r="23" customFormat="false" ht="12.8" hidden="false" customHeight="false" outlineLevel="0" collapsed="false">
      <c r="A23" s="10" t="n">
        <v>19</v>
      </c>
      <c r="B23" s="10" t="s">
        <v>267</v>
      </c>
      <c r="C23" s="10"/>
      <c r="D23" s="10"/>
      <c r="E23" s="10"/>
      <c r="F23" s="10"/>
      <c r="G23" s="10"/>
      <c r="H23" s="10"/>
      <c r="I23" s="10"/>
      <c r="J23" s="10" t="s">
        <v>249</v>
      </c>
      <c r="K23" s="10"/>
    </row>
    <row r="24" customFormat="false" ht="12.8" hidden="false" customHeight="false" outlineLevel="0" collapsed="false">
      <c r="A24" s="11" t="n">
        <v>20</v>
      </c>
      <c r="B24" s="11" t="s">
        <v>268</v>
      </c>
      <c r="C24" s="11"/>
      <c r="D24" s="11"/>
      <c r="E24" s="11"/>
      <c r="F24" s="11"/>
      <c r="G24" s="11"/>
      <c r="H24" s="11"/>
      <c r="I24" s="11"/>
      <c r="J24" s="11" t="s">
        <v>249</v>
      </c>
      <c r="K24" s="11"/>
    </row>
    <row r="25" customFormat="false" ht="12.8" hidden="false" customHeight="false" outlineLevel="0" collapsed="false">
      <c r="A25" s="10" t="n">
        <v>21</v>
      </c>
      <c r="B25" s="10" t="s">
        <v>269</v>
      </c>
      <c r="C25" s="10"/>
      <c r="D25" s="10"/>
      <c r="E25" s="10"/>
      <c r="F25" s="10"/>
      <c r="G25" s="10"/>
      <c r="H25" s="10"/>
      <c r="I25" s="10"/>
      <c r="J25" s="10" t="s">
        <v>249</v>
      </c>
      <c r="K25" s="10"/>
    </row>
    <row r="26" customFormat="false" ht="12.8" hidden="false" customHeight="false" outlineLevel="0" collapsed="false">
      <c r="A26" s="11" t="n">
        <v>22</v>
      </c>
      <c r="B26" s="11" t="s">
        <v>270</v>
      </c>
      <c r="C26" s="11"/>
      <c r="D26" s="11"/>
      <c r="E26" s="11"/>
      <c r="F26" s="11"/>
      <c r="G26" s="11"/>
      <c r="H26" s="11"/>
      <c r="I26" s="11"/>
      <c r="J26" s="11" t="s">
        <v>249</v>
      </c>
      <c r="K26" s="11"/>
    </row>
    <row r="27" customFormat="false" ht="12.8" hidden="false" customHeight="false" outlineLevel="0" collapsed="false">
      <c r="A27" s="10" t="n">
        <v>23</v>
      </c>
      <c r="B27" s="10" t="s">
        <v>271</v>
      </c>
      <c r="C27" s="10"/>
      <c r="D27" s="10"/>
      <c r="E27" s="10"/>
      <c r="F27" s="10"/>
      <c r="G27" s="10"/>
      <c r="H27" s="10"/>
      <c r="I27" s="10"/>
      <c r="J27" s="10" t="s">
        <v>249</v>
      </c>
      <c r="K27" s="10"/>
    </row>
    <row r="28" customFormat="false" ht="12.8" hidden="false" customHeight="false" outlineLevel="0" collapsed="false">
      <c r="A28" s="11" t="n">
        <v>24</v>
      </c>
      <c r="B28" s="11" t="s">
        <v>272</v>
      </c>
      <c r="C28" s="11"/>
      <c r="D28" s="11"/>
      <c r="E28" s="11"/>
      <c r="F28" s="11"/>
      <c r="G28" s="11"/>
      <c r="H28" s="11"/>
      <c r="I28" s="11"/>
      <c r="J28" s="11" t="s">
        <v>249</v>
      </c>
      <c r="K28" s="11"/>
    </row>
    <row r="29" customFormat="false" ht="12.8" hidden="false" customHeight="false" outlineLevel="0" collapsed="false">
      <c r="A29" s="10" t="n">
        <v>25</v>
      </c>
      <c r="B29" s="10" t="s">
        <v>273</v>
      </c>
      <c r="C29" s="10"/>
      <c r="D29" s="10"/>
      <c r="E29" s="10"/>
      <c r="F29" s="10"/>
      <c r="G29" s="10"/>
      <c r="H29" s="10"/>
      <c r="I29" s="10"/>
      <c r="J29" s="10" t="s">
        <v>249</v>
      </c>
      <c r="K29" s="10"/>
    </row>
  </sheetData>
  <mergeCells count="2">
    <mergeCell ref="A1:K1"/>
    <mergeCell ref="A2:K2"/>
  </mergeCells>
  <dataValidations count="2">
    <dataValidation allowBlank="true" error="Pilih nilai yang tersedia untuk prioritas." errorStyle="stop" errorTitle="Pilihan tidak valid" operator="equal" showDropDown="false" showErrorMessage="true" showInputMessage="false" sqref="F5:F29" type="list">
      <formula1>$referensi.$c$2:$C$5</formula1>
      <formula2>0</formula2>
    </dataValidation>
    <dataValidation allowBlank="true" error="Pilih nilai yang tersedia untuk status feedback." errorStyle="stop" errorTitle="Pilihan tidak valid" operator="equal" showDropDown="false" showErrorMessage="true" showInputMessage="false" sqref="J5:J29" type="list">
      <formula1>$referensi.$d$2:$D$6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94"/>
    <col collapsed="false" customWidth="true" hidden="false" outlineLevel="0" max="2" min="2" style="0" width="16.33"/>
    <col collapsed="false" customWidth="true" hidden="false" outlineLevel="0" max="8" min="3" style="0" width="11.22"/>
  </cols>
  <sheetData>
    <row r="1" customFormat="false" ht="29.75" hidden="false" customHeight="true" outlineLevel="0" collapsed="false">
      <c r="A1" s="1" t="s">
        <v>274</v>
      </c>
      <c r="B1" s="1"/>
      <c r="C1" s="1"/>
      <c r="D1" s="1"/>
      <c r="E1" s="1"/>
      <c r="F1" s="1"/>
      <c r="G1" s="1"/>
      <c r="H1" s="1"/>
    </row>
    <row r="2" customFormat="false" ht="20.4" hidden="false" customHeight="true" outlineLevel="0" collapsed="false">
      <c r="A2" s="2" t="s">
        <v>275</v>
      </c>
      <c r="B2" s="2"/>
      <c r="C2" s="2"/>
      <c r="D2" s="2"/>
      <c r="E2" s="2"/>
      <c r="F2" s="2"/>
      <c r="G2" s="2"/>
      <c r="H2" s="2"/>
    </row>
    <row r="4" customFormat="false" ht="41.75" hidden="false" customHeight="true" outlineLevel="0" collapsed="false">
      <c r="A4" s="12" t="s">
        <v>276</v>
      </c>
      <c r="B4" s="12" t="s">
        <v>277</v>
      </c>
      <c r="C4" s="12"/>
      <c r="D4" s="12"/>
      <c r="E4" s="12"/>
      <c r="F4" s="12"/>
      <c r="G4" s="12"/>
      <c r="H4" s="12"/>
    </row>
    <row r="5" customFormat="false" ht="35.05" hidden="false" customHeight="false" outlineLevel="0" collapsed="false">
      <c r="A5" s="6" t="s">
        <v>278</v>
      </c>
      <c r="B5" s="7" t="n">
        <f aca="false">COUNTA('Customer Acceptance'!B5:B42)</f>
        <v>38</v>
      </c>
      <c r="C5" s="7"/>
      <c r="D5" s="7"/>
      <c r="E5" s="7"/>
      <c r="F5" s="7"/>
      <c r="G5" s="7"/>
      <c r="H5" s="7"/>
    </row>
    <row r="6" customFormat="false" ht="12.8" hidden="false" customHeight="false" outlineLevel="0" collapsed="false">
      <c r="A6" s="6" t="s">
        <v>279</v>
      </c>
      <c r="B6" s="7" t="n">
        <f aca="false">COUNTIF('Customer Acceptance'!I5:I42,"Diterima")</f>
        <v>0</v>
      </c>
      <c r="C6" s="7"/>
      <c r="D6" s="7"/>
      <c r="E6" s="7"/>
      <c r="F6" s="7"/>
      <c r="G6" s="7"/>
      <c r="H6" s="7"/>
    </row>
    <row r="7" customFormat="false" ht="35.05" hidden="false" customHeight="false" outlineLevel="0" collapsed="false">
      <c r="A7" s="6" t="s">
        <v>280</v>
      </c>
      <c r="B7" s="7" t="n">
        <f aca="false">COUNTIF('Customer Acceptance'!I5:I42,"Diterima dengan Catatan")</f>
        <v>0</v>
      </c>
      <c r="C7" s="7"/>
      <c r="D7" s="7"/>
      <c r="E7" s="7"/>
      <c r="F7" s="7"/>
      <c r="G7" s="7"/>
      <c r="H7" s="7"/>
    </row>
    <row r="8" customFormat="false" ht="12.8" hidden="false" customHeight="false" outlineLevel="0" collapsed="false">
      <c r="A8" s="6" t="s">
        <v>281</v>
      </c>
      <c r="B8" s="7" t="n">
        <f aca="false">COUNTIF('Customer Acceptance'!I5:I42,"Ditolak")</f>
        <v>0</v>
      </c>
      <c r="C8" s="7"/>
      <c r="D8" s="7"/>
      <c r="E8" s="7"/>
      <c r="F8" s="7"/>
      <c r="G8" s="7"/>
      <c r="H8" s="7"/>
    </row>
    <row r="9" customFormat="false" ht="23.85" hidden="false" customHeight="false" outlineLevel="0" collapsed="false">
      <c r="A9" s="6" t="s">
        <v>54</v>
      </c>
      <c r="B9" s="7" t="n">
        <f aca="false">COUNTIF('Customer Acceptance'!I5:I42,"Belum Diuji")</f>
        <v>38</v>
      </c>
      <c r="C9" s="7"/>
      <c r="D9" s="7"/>
      <c r="E9" s="7"/>
      <c r="F9" s="7"/>
      <c r="G9" s="7"/>
      <c r="H9" s="7"/>
    </row>
    <row r="10" customFormat="false" ht="12.8" hidden="false" customHeight="false" outlineLevel="0" collapsed="false">
      <c r="A10" s="6" t="s">
        <v>282</v>
      </c>
      <c r="B10" s="7" t="n">
        <f aca="false">COUNTIF('Customer Acceptance'!I5:I42,"N/A")</f>
        <v>0</v>
      </c>
      <c r="C10" s="7"/>
      <c r="D10" s="7"/>
      <c r="E10" s="7"/>
      <c r="F10" s="7"/>
      <c r="G10" s="7"/>
      <c r="H10" s="7"/>
    </row>
    <row r="11" customFormat="false" ht="35.05" hidden="false" customHeight="false" outlineLevel="0" collapsed="false">
      <c r="A11" s="6" t="s">
        <v>283</v>
      </c>
      <c r="B11" s="7" t="n">
        <f aca="false">IFERROR(AVERAGE('Customer Acceptance'!H5:H42),0)</f>
        <v>0</v>
      </c>
      <c r="C11" s="7"/>
      <c r="D11" s="7"/>
      <c r="E11" s="7"/>
      <c r="F11" s="7"/>
      <c r="G11" s="7"/>
      <c r="H11" s="7"/>
    </row>
    <row r="12" customFormat="false" ht="12.8" hidden="false" customHeight="false" outlineLevel="0" collapsed="false">
      <c r="A12" s="7"/>
      <c r="B12" s="7"/>
      <c r="C12" s="7"/>
      <c r="D12" s="7"/>
      <c r="E12" s="7"/>
      <c r="F12" s="7"/>
      <c r="G12" s="7"/>
      <c r="H12" s="7"/>
    </row>
    <row r="13" customFormat="false" ht="55.2" hidden="false" customHeight="false" outlineLevel="0" collapsed="false">
      <c r="A13" s="12" t="s">
        <v>284</v>
      </c>
      <c r="B13" s="12"/>
      <c r="C13" s="12"/>
      <c r="D13" s="12"/>
      <c r="E13" s="12"/>
      <c r="F13" s="12"/>
      <c r="G13" s="12"/>
      <c r="H13" s="12"/>
    </row>
    <row r="14" customFormat="false" ht="23.85" hidden="false" customHeight="true" outlineLevel="0" collapsed="false">
      <c r="A14" s="13" t="s">
        <v>285</v>
      </c>
      <c r="B14" s="13" t="s">
        <v>286</v>
      </c>
      <c r="C14" s="13"/>
      <c r="D14" s="13"/>
      <c r="E14" s="13"/>
      <c r="F14" s="13"/>
      <c r="G14" s="13"/>
      <c r="H14" s="13"/>
    </row>
    <row r="15" customFormat="false" ht="46.25" hidden="false" customHeight="true" outlineLevel="0" collapsed="false">
      <c r="A15" s="13" t="s">
        <v>287</v>
      </c>
      <c r="B15" s="13" t="s">
        <v>288</v>
      </c>
      <c r="C15" s="13"/>
      <c r="D15" s="13"/>
      <c r="E15" s="13"/>
      <c r="F15" s="13"/>
      <c r="G15" s="13"/>
      <c r="H15" s="13"/>
    </row>
    <row r="16" customFormat="false" ht="23.85" hidden="false" customHeight="true" outlineLevel="0" collapsed="false">
      <c r="A16" s="13" t="s">
        <v>289</v>
      </c>
      <c r="B16" s="13" t="s">
        <v>290</v>
      </c>
      <c r="C16" s="13"/>
      <c r="D16" s="13"/>
      <c r="E16" s="13"/>
      <c r="F16" s="13"/>
      <c r="G16" s="13"/>
      <c r="H16" s="13"/>
    </row>
    <row r="17" customFormat="false" ht="35.05" hidden="false" customHeight="false" outlineLevel="0" collapsed="false">
      <c r="A17" s="7" t="s">
        <v>291</v>
      </c>
      <c r="B17" s="7"/>
      <c r="C17" s="7"/>
      <c r="D17" s="7"/>
      <c r="E17" s="7"/>
      <c r="F17" s="7"/>
      <c r="G17" s="7"/>
      <c r="H17" s="7"/>
    </row>
    <row r="18" customFormat="false" ht="35.05" hidden="false" customHeight="false" outlineLevel="0" collapsed="false">
      <c r="A18" s="7" t="s">
        <v>292</v>
      </c>
      <c r="B18" s="7"/>
      <c r="C18" s="7"/>
      <c r="D18" s="7"/>
      <c r="E18" s="7"/>
      <c r="F18" s="7"/>
      <c r="G18" s="7"/>
      <c r="H18" s="7"/>
    </row>
    <row r="19" customFormat="false" ht="12.8" hidden="false" customHeight="false" outlineLevel="0" collapsed="false">
      <c r="A19" s="7"/>
      <c r="B19" s="7"/>
      <c r="C19" s="7"/>
      <c r="D19" s="7"/>
      <c r="E19" s="7"/>
      <c r="F19" s="7"/>
      <c r="G19" s="7"/>
      <c r="H19" s="7"/>
    </row>
    <row r="20" customFormat="false" ht="35.05" hidden="false" customHeight="true" outlineLevel="0" collapsed="false">
      <c r="A20" s="7" t="s">
        <v>293</v>
      </c>
      <c r="B20" s="7" t="s">
        <v>294</v>
      </c>
      <c r="C20" s="7"/>
      <c r="D20" s="7"/>
      <c r="E20" s="7"/>
      <c r="F20" s="7"/>
      <c r="G20" s="7"/>
      <c r="H20" s="7"/>
    </row>
    <row r="21" customFormat="false" ht="12.8" hidden="false" customHeight="false" outlineLevel="0" collapsed="false">
      <c r="A21" s="7"/>
      <c r="B21" s="7"/>
      <c r="C21" s="7"/>
      <c r="D21" s="7"/>
      <c r="E21" s="7"/>
      <c r="F21" s="7"/>
      <c r="G21" s="7"/>
      <c r="H21" s="7"/>
    </row>
    <row r="22" customFormat="false" ht="41.75" hidden="false" customHeight="true" outlineLevel="0" collapsed="false">
      <c r="A22" s="12" t="s">
        <v>295</v>
      </c>
      <c r="B22" s="12" t="s">
        <v>296</v>
      </c>
      <c r="C22" s="12"/>
      <c r="D22" s="12"/>
      <c r="E22" s="12"/>
      <c r="F22" s="12"/>
      <c r="G22" s="12"/>
      <c r="H22" s="12"/>
    </row>
    <row r="23" customFormat="false" ht="46.25" hidden="false" customHeight="true" outlineLevel="0" collapsed="false">
      <c r="A23" s="7" t="s">
        <v>297</v>
      </c>
      <c r="B23" s="7" t="s">
        <v>297</v>
      </c>
      <c r="C23" s="7"/>
      <c r="D23" s="7"/>
      <c r="E23" s="7"/>
      <c r="F23" s="7"/>
      <c r="G23" s="7"/>
      <c r="H23" s="7"/>
    </row>
    <row r="24" customFormat="false" ht="46.25" hidden="false" customHeight="true" outlineLevel="0" collapsed="false">
      <c r="A24" s="7" t="s">
        <v>298</v>
      </c>
      <c r="B24" s="7" t="s">
        <v>298</v>
      </c>
      <c r="C24" s="7"/>
      <c r="D24" s="7"/>
      <c r="E24" s="7"/>
      <c r="F24" s="7"/>
      <c r="G24" s="7"/>
      <c r="H24" s="7"/>
    </row>
    <row r="25" customFormat="false" ht="46.25" hidden="false" customHeight="true" outlineLevel="0" collapsed="false">
      <c r="A25" s="7" t="s">
        <v>299</v>
      </c>
      <c r="B25" s="7" t="s">
        <v>299</v>
      </c>
      <c r="C25" s="7"/>
      <c r="D25" s="7"/>
      <c r="E25" s="7"/>
      <c r="F25" s="7"/>
      <c r="G25" s="7"/>
      <c r="H25" s="7"/>
    </row>
    <row r="26" customFormat="false" ht="35.05" hidden="false" customHeight="true" outlineLevel="0" collapsed="false">
      <c r="A26" s="7" t="s">
        <v>300</v>
      </c>
      <c r="B26" s="7" t="s">
        <v>300</v>
      </c>
      <c r="C26" s="7"/>
      <c r="D26" s="7"/>
      <c r="E26" s="7"/>
      <c r="F26" s="7"/>
      <c r="G26" s="7"/>
      <c r="H26" s="7"/>
    </row>
    <row r="27" customFormat="false" ht="12.8" hidden="false" customHeight="false" outlineLevel="0" collapsed="false">
      <c r="A27" s="7"/>
      <c r="B27" s="7"/>
      <c r="C27" s="7"/>
      <c r="D27" s="7"/>
      <c r="E27" s="7"/>
      <c r="F27" s="7"/>
      <c r="G27" s="7"/>
      <c r="H27" s="7"/>
    </row>
    <row r="28" customFormat="false" ht="28.35" hidden="false" customHeight="true" outlineLevel="0" collapsed="false">
      <c r="A28" s="12" t="s">
        <v>301</v>
      </c>
      <c r="B28" s="12" t="s">
        <v>302</v>
      </c>
      <c r="C28" s="12"/>
      <c r="D28" s="12"/>
      <c r="E28" s="12"/>
      <c r="F28" s="12"/>
      <c r="G28" s="12"/>
      <c r="H28" s="12"/>
    </row>
    <row r="29" customFormat="false" ht="46.25" hidden="false" customHeight="false" outlineLevel="0" collapsed="false">
      <c r="A29" s="7" t="s">
        <v>297</v>
      </c>
      <c r="B29" s="7"/>
      <c r="C29" s="7"/>
      <c r="D29" s="7"/>
      <c r="E29" s="7"/>
      <c r="F29" s="7"/>
      <c r="G29" s="7"/>
      <c r="H29" s="7"/>
    </row>
    <row r="30" customFormat="false" ht="46.25" hidden="false" customHeight="false" outlineLevel="0" collapsed="false">
      <c r="A30" s="7" t="s">
        <v>299</v>
      </c>
      <c r="B30" s="7"/>
      <c r="C30" s="7"/>
      <c r="D30" s="7"/>
      <c r="E30" s="7"/>
      <c r="F30" s="7"/>
      <c r="G30" s="7"/>
      <c r="H30" s="7"/>
    </row>
    <row r="31" customFormat="false" ht="35.05" hidden="false" customHeight="false" outlineLevel="0" collapsed="false">
      <c r="A31" s="7" t="s">
        <v>300</v>
      </c>
      <c r="B31" s="7"/>
      <c r="C31" s="7"/>
      <c r="D31" s="7"/>
      <c r="E31" s="7"/>
      <c r="F31" s="7"/>
      <c r="G31" s="7"/>
      <c r="H31" s="7"/>
    </row>
  </sheetData>
  <mergeCells count="30">
    <mergeCell ref="A1:H1"/>
    <mergeCell ref="A2:H2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  <mergeCell ref="B31:H3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37"/>
    <col collapsed="false" customWidth="true" hidden="false" outlineLevel="0" max="2" min="2" style="0" width="7.65"/>
    <col collapsed="false" customWidth="true" hidden="false" outlineLevel="0" max="3" min="3" style="0" width="11.73"/>
    <col collapsed="false" customWidth="true" hidden="false" outlineLevel="0" max="4" min="4" style="0" width="14.28"/>
    <col collapsed="false" customWidth="true" hidden="false" outlineLevel="0" max="5" min="5" style="0" width="33.16"/>
  </cols>
  <sheetData>
    <row r="1" customFormat="false" ht="29.75" hidden="false" customHeight="true" outlineLevel="0" collapsed="false">
      <c r="A1" s="1" t="s">
        <v>303</v>
      </c>
      <c r="B1" s="1"/>
      <c r="C1" s="1"/>
      <c r="D1" s="1"/>
      <c r="E1" s="1"/>
    </row>
    <row r="3" customFormat="false" ht="29.75" hidden="false" customHeight="true" outlineLevel="0" collapsed="false">
      <c r="A3" s="9" t="s">
        <v>45</v>
      </c>
      <c r="B3" s="9" t="s">
        <v>304</v>
      </c>
      <c r="C3" s="9" t="s">
        <v>242</v>
      </c>
      <c r="D3" s="9" t="s">
        <v>305</v>
      </c>
      <c r="E3" s="9" t="s">
        <v>306</v>
      </c>
    </row>
    <row r="4" customFormat="false" ht="32.8" hidden="false" customHeight="false" outlineLevel="0" collapsed="false">
      <c r="A4" s="10" t="s">
        <v>54</v>
      </c>
      <c r="B4" s="14" t="s">
        <v>3</v>
      </c>
      <c r="C4" s="10" t="s">
        <v>307</v>
      </c>
      <c r="D4" s="10" t="s">
        <v>249</v>
      </c>
      <c r="E4" s="10" t="s">
        <v>308</v>
      </c>
    </row>
    <row r="5" customFormat="false" ht="74.6" hidden="false" customHeight="false" outlineLevel="0" collapsed="false">
      <c r="A5" s="11" t="s">
        <v>279</v>
      </c>
      <c r="B5" s="15" t="s">
        <v>5</v>
      </c>
      <c r="C5" s="11" t="s">
        <v>309</v>
      </c>
      <c r="D5" s="11" t="s">
        <v>310</v>
      </c>
      <c r="E5" s="11" t="s">
        <v>311</v>
      </c>
    </row>
    <row r="6" customFormat="false" ht="53.7" hidden="false" customHeight="false" outlineLevel="0" collapsed="false">
      <c r="A6" s="10" t="s">
        <v>280</v>
      </c>
      <c r="B6" s="14" t="s">
        <v>7</v>
      </c>
      <c r="C6" s="10" t="s">
        <v>312</v>
      </c>
      <c r="D6" s="10" t="s">
        <v>313</v>
      </c>
      <c r="E6" s="10" t="s">
        <v>314</v>
      </c>
    </row>
    <row r="7" customFormat="false" ht="43.25" hidden="false" customHeight="false" outlineLevel="0" collapsed="false">
      <c r="A7" s="11" t="s">
        <v>281</v>
      </c>
      <c r="B7" s="15" t="s">
        <v>9</v>
      </c>
      <c r="C7" s="11" t="s">
        <v>315</v>
      </c>
      <c r="D7" s="11" t="s">
        <v>316</v>
      </c>
      <c r="E7" s="11" t="s">
        <v>317</v>
      </c>
    </row>
    <row r="8" customFormat="false" ht="43.25" hidden="false" customHeight="false" outlineLevel="0" collapsed="false">
      <c r="A8" s="10" t="s">
        <v>282</v>
      </c>
      <c r="B8" s="14" t="s">
        <v>11</v>
      </c>
      <c r="C8" s="10"/>
      <c r="D8" s="10" t="s">
        <v>318</v>
      </c>
      <c r="E8" s="10" t="s">
        <v>319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2026-08-11T10:37:35Z</dcterms:modified>
  <cp:revision>1</cp:revision>
  <dc:subject/>
  <dc:title>Multimedia Project Acceptance</dc:title>
</cp:coreProperties>
</file>