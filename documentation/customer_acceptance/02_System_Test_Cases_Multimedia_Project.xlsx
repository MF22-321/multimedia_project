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ngkasan" sheetId="1" state="visible" r:id="rId2"/>
    <sheet name="Master Test Cases" sheetId="2" state="visible" r:id="rId3"/>
    <sheet name="Use Case E2E" sheetId="3" state="visible" r:id="rId4"/>
    <sheet name="Defect Log" sheetId="4" state="visible" r:id="rId5"/>
    <sheet name="Environment &amp; Device" sheetId="5" state="visible" r:id="rId6"/>
    <sheet name="Release Checklist" sheetId="6" state="visible" r:id="rId7"/>
    <sheet name="Referensi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<sst xmlns="http://schemas.openxmlformats.org/spreadsheetml/2006/main" count="2235" uniqueCount="1289">
  <si>
    <t xml:space="preserve">SYSTEM TEST — MULTIMEDIA PROJECT</t>
  </si>
  <si>
    <t xml:space="preserve">Test Jetson, Flutter HMI, backend AI, ESP32, projection, dan integrasi perangkat.</t>
  </si>
  <si>
    <t xml:space="preserve">INFORMASI TEST RUN</t>
  </si>
  <si>
    <t xml:space="preserve">ISIAN</t>
  </si>
  <si>
    <t xml:space="preserve">Test Run ID</t>
  </si>
  <si>
    <t xml:space="preserve">MMP-TR-001</t>
  </si>
  <si>
    <t xml:space="preserve">Versi Build/Commit</t>
  </si>
  <si>
    <t xml:space="preserve">Tanggal Mulai</t>
  </si>
  <si>
    <t xml:space="preserve">Tanggal Selesai</t>
  </si>
  <si>
    <t xml:space="preserve">Test Lead</t>
  </si>
  <si>
    <t xml:space="preserve">Customer/Witness</t>
  </si>
  <si>
    <t xml:space="preserve">Environment</t>
  </si>
  <si>
    <t xml:space="preserve">Jetson Orin Nano / Linux Release Build</t>
  </si>
  <si>
    <t xml:space="preserve">DASHBOARD HASIL</t>
  </si>
  <si>
    <t xml:space="preserve">JUMLAH</t>
  </si>
  <si>
    <t xml:space="preserve">Total Test Case</t>
  </si>
  <si>
    <t xml:space="preserve">Lulus</t>
  </si>
  <si>
    <t xml:space="preserve">Gagal</t>
  </si>
  <si>
    <t xml:space="preserve">Blocked</t>
  </si>
  <si>
    <t xml:space="preserve">Belum Diuji</t>
  </si>
  <si>
    <t xml:space="preserve">N/A</t>
  </si>
  <si>
    <t xml:space="preserve">Pass Rate (tanpa N/A)</t>
  </si>
  <si>
    <t xml:space="preserve">Critical/High gagal atau blocked</t>
  </si>
  <si>
    <t xml:space="preserve">KRITERIA RELEASE</t>
  </si>
  <si>
    <t xml:space="preserve">TARGET</t>
  </si>
  <si>
    <t xml:space="preserve">Automated test</t>
  </si>
  <si>
    <t xml:space="preserve">100% lulus</t>
  </si>
  <si>
    <t xml:space="preserve">Flutter analyzer</t>
  </si>
  <si>
    <t xml:space="preserve">0 issue</t>
  </si>
  <si>
    <t xml:space="preserve">Build Linux release ARM64</t>
  </si>
  <si>
    <t xml:space="preserve">Berhasil</t>
  </si>
  <si>
    <t xml:space="preserve">Backend critical coverage</t>
  </si>
  <si>
    <t xml:space="preserve">≥90%</t>
  </si>
  <si>
    <t xml:space="preserve">Pothole/maps/ESP32 coverage</t>
  </si>
  <si>
    <t xml:space="preserve">Open defect Critical/High</t>
  </si>
  <si>
    <t xml:space="preserve">0</t>
  </si>
  <si>
    <t xml:space="preserve">Manual hardware in-scope</t>
  </si>
  <si>
    <t xml:space="preserve">100% Lulus atau waiver disetujui</t>
  </si>
  <si>
    <t xml:space="preserve">MASTER TEST CASES — SEMUA FITUR SISTEM</t>
  </si>
  <si>
    <t xml:space="preserve">Status diisi melalui dropdown. Gunakan Actual Result, Evidence, dan Defect ID untuk setiap kegagalan/blocked.</t>
  </si>
  <si>
    <t xml:space="preserve">No.</t>
  </si>
  <si>
    <t xml:space="preserve">Test Case ID</t>
  </si>
  <si>
    <t xml:space="preserve">Modul</t>
  </si>
  <si>
    <t xml:space="preserve">Submodul</t>
  </si>
  <si>
    <t xml:space="preserve">Prioritas</t>
  </si>
  <si>
    <t xml:space="preserve">Jenis Test</t>
  </si>
  <si>
    <t xml:space="preserve">Metode</t>
  </si>
  <si>
    <t xml:space="preserve">Precondition</t>
  </si>
  <si>
    <t xml:space="preserve">Test Data/Kondisi</t>
  </si>
  <si>
    <t xml:space="preserve">Langkah Pengujian</t>
  </si>
  <si>
    <t xml:space="preserve">Hasil yang Diharapkan</t>
  </si>
  <si>
    <t xml:space="preserve">Checklist Persiapan</t>
  </si>
  <si>
    <t xml:space="preserve">Status</t>
  </si>
  <si>
    <t xml:space="preserve">Actual Result</t>
  </si>
  <si>
    <t xml:space="preserve">Evidence/Log/Foto</t>
  </si>
  <si>
    <t xml:space="preserve">Defect ID</t>
  </si>
  <si>
    <t xml:space="preserve">Tester</t>
  </si>
  <si>
    <t xml:space="preserve">Tanggal Test</t>
  </si>
  <si>
    <t xml:space="preserve">BOOT-001</t>
  </si>
  <si>
    <t xml:space="preserve">Startup</t>
  </si>
  <si>
    <t xml:space="preserve">Cold boot</t>
  </si>
  <si>
    <t xml:space="preserve">Critical</t>
  </si>
  <si>
    <t xml:space="preserve">Functional</t>
  </si>
  <si>
    <t xml:space="preserve">Manual</t>
  </si>
  <si>
    <t xml:space="preserve">Jetson mati; seluruh device terhubung</t>
  </si>
  <si>
    <t xml:space="preserve">Stopwatch</t>
  </si>
  <si>
    <t xml:space="preserve">1. Nyalakan Jetson
2. Amati Boot Page
3. Lanjutkan sampai Driver Select</t>
  </si>
  <si>
    <t xml:space="preserve">Urutan Boot → Warning → Ganjil/Genap → Driver Select selesai tanpa hang/crash.</t>
  </si>
  <si>
    <t xml:space="preserve">☐ Precondition terpenuhi
☐ Test data/device siap
☐ Evidence disiapkan</t>
  </si>
  <si>
    <t xml:space="preserve">BOOT-002</t>
  </si>
  <si>
    <t xml:space="preserve">Warning consent</t>
  </si>
  <si>
    <t xml:space="preserve">High</t>
  </si>
  <si>
    <t xml:space="preserve">Boot Page selesai</t>
  </si>
  <si>
    <t xml:space="preserve">-</t>
  </si>
  <si>
    <t xml:space="preserve">1. Baca warning
2. Jangan tekan tombol 5 detik
3. Tekan setuju</t>
  </si>
  <si>
    <t xml:space="preserve">Tidak lanjut tanpa aksi; setelah setuju route berikutnya terbuka satu kali.</t>
  </si>
  <si>
    <t xml:space="preserve">BOOT-003</t>
  </si>
  <si>
    <t xml:space="preserve">Ganjil/Genap</t>
  </si>
  <si>
    <t xml:space="preserve">Medium</t>
  </si>
  <si>
    <t xml:space="preserve">Warning disetujui</t>
  </si>
  <si>
    <t xml:space="preserve">Tanggal kendaraan</t>
  </si>
  <si>
    <t xml:space="preserve">1. Verifikasi informasi ganjil/genap
2. Tekan lanjut</t>
  </si>
  <si>
    <t xml:space="preserve">Teks/status sesuai desain dan halaman Driver Select terbuka.</t>
  </si>
  <si>
    <t xml:space="preserve">BOOT-004</t>
  </si>
  <si>
    <t xml:space="preserve">Backend offline</t>
  </si>
  <si>
    <t xml:space="preserve">Negative/Recovery</t>
  </si>
  <si>
    <t xml:space="preserve">Hybrid</t>
  </si>
  <si>
    <t xml:space="preserve">Backend dihentikan</t>
  </si>
  <si>
    <t xml:space="preserve">Service backend off</t>
  </si>
  <si>
    <t xml:space="preserve">1. Jalankan HMI
2. Masuk Driver Select
3. Amati 30 detik</t>
  </si>
  <si>
    <t xml:space="preserve">Loading berhenti, UI tidak crash, Guest dan Tambah Akun tetap dapat diakses sesuai desain.</t>
  </si>
  <si>
    <t xml:space="preserve">BOOT-005</t>
  </si>
  <si>
    <t xml:space="preserve">Boot endurance</t>
  </si>
  <si>
    <t xml:space="preserve">Reliability</t>
  </si>
  <si>
    <t xml:space="preserve">Build release terpasang</t>
  </si>
  <si>
    <t xml:space="preserve">50 cold boot</t>
  </si>
  <si>
    <t xml:space="preserve">Ulangi cold boot 50 kali dan catat waktu/error</t>
  </si>
  <si>
    <t xml:space="preserve">100% boot selesai; tidak ada state lama bocor, hang, atau corruption.</t>
  </si>
  <si>
    <t xml:space="preserve">BE-001</t>
  </si>
  <si>
    <t xml:space="preserve">Backend</t>
  </si>
  <si>
    <t xml:space="preserve">Health API</t>
  </si>
  <si>
    <t xml:space="preserve">API</t>
  </si>
  <si>
    <t xml:space="preserve">Automated</t>
  </si>
  <si>
    <t xml:space="preserve">Backend aktif</t>
  </si>
  <si>
    <t xml:space="preserve">GET /</t>
  </si>
  <si>
    <t xml:space="preserve">Panggil health endpoint</t>
  </si>
  <si>
    <t xml:space="preserve">HTTP 200 dan pesan backend running.</t>
  </si>
  <si>
    <t xml:space="preserve">CAM-001</t>
  </si>
  <si>
    <t xml:space="preserve">Camera</t>
  </si>
  <si>
    <t xml:space="preserve">MJPEG feed</t>
  </si>
  <si>
    <t xml:space="preserve">Integration</t>
  </si>
  <si>
    <t xml:space="preserve">Kamera aktif</t>
  </si>
  <si>
    <t xml:space="preserve">GET /camera_feed</t>
  </si>
  <si>
    <t xml:space="preserve">Buka stream selama 5 menit</t>
  </si>
  <si>
    <t xml:space="preserve">Frame bergerak stabil dan endpoint tidak berhenti.</t>
  </si>
  <si>
    <t xml:space="preserve">CAM-002</t>
  </si>
  <si>
    <t xml:space="preserve">WebSocket feed</t>
  </si>
  <si>
    <t xml:space="preserve">Backend dan kamera aktif</t>
  </si>
  <si>
    <t xml:space="preserve">WS /ws/camera</t>
  </si>
  <si>
    <t xml:space="preserve">Buka halaman enrollment dan amati preview</t>
  </si>
  <si>
    <t xml:space="preserve">JPEG frame tampil realtime tanpa reconnect loop abnormal.</t>
  </si>
  <si>
    <t xml:space="preserve">CAM-003</t>
  </si>
  <si>
    <t xml:space="preserve">Capture face</t>
  </si>
  <si>
    <t xml:space="preserve">Frame kamera tersedia</t>
  </si>
  <si>
    <t xml:space="preserve">GET /capture_face</t>
  </si>
  <si>
    <t xml:space="preserve">Panggil capture</t>
  </si>
  <si>
    <t xml:space="preserve">JPEG valid dikembalikan tanpa perubahan tak terduga.</t>
  </si>
  <si>
    <t xml:space="preserve">CAM-004</t>
  </si>
  <si>
    <t xml:space="preserve">Camera disconnect</t>
  </si>
  <si>
    <t xml:space="preserve">Recovery</t>
  </si>
  <si>
    <t xml:space="preserve">Preview aktif</t>
  </si>
  <si>
    <t xml:space="preserve">Cabut/pasang kamera</t>
  </si>
  <si>
    <t xml:space="preserve">1. Cabut kamera
2. Tunggu status
3. Pasang kembali</t>
  </si>
  <si>
    <t xml:space="preserve">Error ditangani; backend/HMI tidak crash dan stream pulih atau memberi instruksi restart jelas.</t>
  </si>
  <si>
    <t xml:space="preserve">FACE-001</t>
  </si>
  <si>
    <t xml:space="preserve">Face Recognition</t>
  </si>
  <si>
    <t xml:space="preserve">Daftar driver</t>
  </si>
  <si>
    <t xml:space="preserve">API/Functional</t>
  </si>
  <si>
    <t xml:space="preserve">Dataset uji terisolasi</t>
  </si>
  <si>
    <t xml:space="preserve">GET /drivers</t>
  </si>
  <si>
    <t xml:space="preserve">Ambil daftar driver</t>
  </si>
  <si>
    <t xml:space="preserve">Hanya direktori akun valid dikembalikan dengan casing nama benar.</t>
  </si>
  <si>
    <t xml:space="preserve">FACE-002</t>
  </si>
  <si>
    <t xml:space="preserve">Enrollment nama kosong</t>
  </si>
  <si>
    <t xml:space="preserve">Negative</t>
  </si>
  <si>
    <t xml:space="preserve">Halaman Add Driver terbuka</t>
  </si>
  <si>
    <t xml:space="preserve">Nama kosong</t>
  </si>
  <si>
    <t xml:space="preserve">Tekan Scan/Register tanpa nama</t>
  </si>
  <si>
    <t xml:space="preserve">Registrasi ditolak, pesan Name is required tampil, tidak ada dataset dibuat.</t>
  </si>
  <si>
    <t xml:space="preserve">FACE-003</t>
  </si>
  <si>
    <t xml:space="preserve">Live burst sukses</t>
  </si>
  <si>
    <t xml:space="preserve">Functional/AI</t>
  </si>
  <si>
    <t xml:space="preserve">Kamera dan backend aktif; user belum terdaftar</t>
  </si>
  <si>
    <t xml:space="preserve">Nama valid; 12 detik; 30 sampel</t>
  </si>
  <si>
    <t xml:space="preserve">1. Isi nama
2. Ikuti guidance
3. Tunggu processing
4. Simpan</t>
  </si>
  <si>
    <t xml:space="preserve">Sampel diterima cukup, model/embedding dibangun, driver terdeteksi dan profil tersimpan.</t>
  </si>
  <si>
    <t xml:space="preserve">FACE-004</t>
  </si>
  <si>
    <t xml:space="preserve">Enrollment guidance</t>
  </si>
  <si>
    <t xml:space="preserve">Usability/AI</t>
  </si>
  <si>
    <t xml:space="preserve">Capture berlangsung</t>
  </si>
  <si>
    <t xml:space="preserve">Variasi terlalu gelap, blur, menoleh</t>
  </si>
  <si>
    <t xml:space="preserve">Ubah pose/cahaya selama capture</t>
  </si>
  <si>
    <t xml:space="preserve">accepted/rejected count dan guidance berubah wajar; sampel buruk tidak dianggap valid.</t>
  </si>
  <si>
    <t xml:space="preserve">FACE-005</t>
  </si>
  <si>
    <t xml:space="preserve">Input foto invalid</t>
  </si>
  <si>
    <t xml:space="preserve">Negative/API</t>
  </si>
  <si>
    <t xml:space="preserve">Endpoint enroll tersedia</t>
  </si>
  <si>
    <t xml:space="preserve">Byte bukan gambar</t>
  </si>
  <si>
    <t xml:space="preserve">POST /enroll dengan file invalid</t>
  </si>
  <si>
    <t xml:space="preserve">HTTP error aman; tidak membuat label/model palsu.</t>
  </si>
  <si>
    <t xml:space="preserve">FACE-006</t>
  </si>
  <si>
    <t xml:space="preserve">Tidak ada wajah</t>
  </si>
  <si>
    <t xml:space="preserve">Negative/AI</t>
  </si>
  <si>
    <t xml:space="preserve">Kamera mengarah ke area kosong</t>
  </si>
  <si>
    <t xml:space="preserve">Frame tanpa wajah</t>
  </si>
  <si>
    <t xml:space="preserve">Jalankan enrollment</t>
  </si>
  <si>
    <t xml:space="preserve">saved_count=0, registrasi gagal, mode enrollment dipulihkan.</t>
  </si>
  <si>
    <t xml:space="preserve">FACE-007</t>
  </si>
  <si>
    <t xml:space="preserve">Auto-login valid</t>
  </si>
  <si>
    <t xml:space="preserve">Driver ada di /drivers</t>
  </si>
  <si>
    <t xml:space="preserve">Wajah driver terdaftar</t>
  </si>
  <si>
    <t xml:space="preserve">Hadapkan wajah sampai recognized</t>
  </si>
  <si>
    <t xml:space="preserve">Session memakai nama asli backend dan Home terbuka satu kali.</t>
  </si>
  <si>
    <t xml:space="preserve">FACE-008</t>
  </si>
  <si>
    <t xml:space="preserve">Unknown face</t>
  </si>
  <si>
    <t xml:space="preserve">Security/Negative</t>
  </si>
  <si>
    <t xml:space="preserve">Orang belum terdaftar</t>
  </si>
  <si>
    <t xml:space="preserve">Wajah asing</t>
  </si>
  <si>
    <t xml:space="preserve">Hadapkan wajah asing 30 detik</t>
  </si>
  <si>
    <t xml:space="preserve">Tidak pernah login sebagai akun terdaftar; false accept dicatat.</t>
  </si>
  <si>
    <t xml:space="preserve">FACE-009</t>
  </si>
  <si>
    <t xml:space="preserve">Stale identity</t>
  </si>
  <si>
    <t xml:space="preserve">Recognizer mengembalikan nama yang sudah dihapus</t>
  </si>
  <si>
    <t xml:space="preserve">Nama tidak ada di /drivers</t>
  </si>
  <si>
    <t xml:space="preserve">Simulasikan recognized stale name</t>
  </si>
  <si>
    <t xml:space="preserve">HMI mengabaikan identity dan tetap di Driver Select.</t>
  </si>
  <si>
    <t xml:space="preserve">FACE-010</t>
  </si>
  <si>
    <t xml:space="preserve">Login manual</t>
  </si>
  <si>
    <t xml:space="preserve">Daftar driver tampil</t>
  </si>
  <si>
    <t xml:space="preserve">Kartu driver</t>
  </si>
  <si>
    <t xml:space="preserve">Tekan kartu driver</t>
  </si>
  <si>
    <t xml:space="preserve">Nama dirapikan, session benar, Home terbuka.</t>
  </si>
  <si>
    <t xml:space="preserve">FACE-011</t>
  </si>
  <si>
    <t xml:space="preserve">Guest login</t>
  </si>
  <si>
    <t xml:space="preserve">Sebelumnya ada driver session</t>
  </si>
  <si>
    <t xml:space="preserve">Guest</t>
  </si>
  <si>
    <t xml:space="preserve">Tekan Guest</t>
  </si>
  <si>
    <t xml:space="preserve">Session lama bersih dan Home terbuka tanpa identitas palsu.</t>
  </si>
  <si>
    <t xml:space="preserve">FACE-012</t>
  </si>
  <si>
    <t xml:space="preserve">Hapus akun terverifikasi</t>
  </si>
  <si>
    <t xml:space="preserve">Functional/Security</t>
  </si>
  <si>
    <t xml:space="preserve">Driver aktif dan wajah cocok</t>
  </si>
  <si>
    <t xml:space="preserve">DELETE /driver/{name}</t>
  </si>
  <si>
    <t xml:space="preserve">1. Buka Delete Account
2. Verifikasi wajah
3. Konfirmasi</t>
  </si>
  <si>
    <t xml:space="preserve">Dataset, profile, label dan state identity akun itu terhapus; akun lain tetap utuh.</t>
  </si>
  <si>
    <t xml:space="preserve">FACE-013</t>
  </si>
  <si>
    <t xml:space="preserve">Batal hapus akun</t>
  </si>
  <si>
    <t xml:space="preserve">Dialog delete terbuka</t>
  </si>
  <si>
    <t xml:space="preserve">Cancel</t>
  </si>
  <si>
    <t xml:space="preserve">Tekan Cancel sebelum konfirmasi</t>
  </si>
  <si>
    <t xml:space="preserve">Tidak ada data/profile yang berubah.</t>
  </si>
  <si>
    <t xml:space="preserve">FACE-014</t>
  </si>
  <si>
    <t xml:space="preserve">Validasi nama berbahaya</t>
  </si>
  <si>
    <t xml:space="preserve">Endpoint enrollment/delete</t>
  </si>
  <si>
    <t xml:space="preserve">Kosong, .., slash, backslash</t>
  </si>
  <si>
    <t xml:space="preserve">Kirim setiap nama invalid</t>
  </si>
  <si>
    <t xml:space="preserve">Ditolak HTTP 400; tidak ada akses path di luar dataset.</t>
  </si>
  <si>
    <t xml:space="preserve">FACE-015</t>
  </si>
  <si>
    <t xml:space="preserve">Variasi kondisi nyata</t>
  </si>
  <si>
    <t xml:space="preserve">AI Validation</t>
  </si>
  <si>
    <t xml:space="preserve">Minimal 5 driver</t>
  </si>
  <si>
    <t xml:space="preserve">Terang/gelap, kacamata, sudut</t>
  </si>
  <si>
    <t xml:space="preserve">Uji tiap driver ≥20 percobaan</t>
  </si>
  <si>
    <t xml:space="preserve">Catat FAR, FRR, precision/recall per kondisi; target proyek terpenuhi.</t>
  </si>
  <si>
    <t xml:space="preserve">FACE-016</t>
  </si>
  <si>
    <t xml:space="preserve">Anti-spoof/liveness</t>
  </si>
  <si>
    <t xml:space="preserve">Security/Gap</t>
  </si>
  <si>
    <t xml:space="preserve">Requirement liveness dikonfirmasi</t>
  </si>
  <si>
    <t xml:space="preserve">Foto cetak dan video wajah</t>
  </si>
  <si>
    <t xml:space="preserve">Coba login memakai media replay</t>
  </si>
  <si>
    <t xml:space="preserve">Ditolak bila liveness in-scope; jika belum ada, tandai gap dan risiko eksplisit.</t>
  </si>
  <si>
    <t xml:space="preserve">PREF-001</t>
  </si>
  <si>
    <t xml:space="preserve">Driver Profile</t>
  </si>
  <si>
    <t xml:space="preserve">Simpan preferensi</t>
  </si>
  <si>
    <t xml:space="preserve">Driver aktif</t>
  </si>
  <si>
    <t xml:space="preserve">Fan, suhu, fragrance, theme, language</t>
  </si>
  <si>
    <t xml:space="preserve">Ubah lalu simpan preference</t>
  </si>
  <si>
    <t xml:space="preserve">Seluruh field tersimpan pada key driver yang benar.</t>
  </si>
  <si>
    <t xml:space="preserve">PREF-002</t>
  </si>
  <si>
    <t xml:space="preserve">Muat preferensi</t>
  </si>
  <si>
    <t xml:space="preserve">Preference sudah disimpan</t>
  </si>
  <si>
    <t xml:space="preserve">Login ulang</t>
  </si>
  <si>
    <t xml:space="preserve">Ganti driver lalu kembali login</t>
  </si>
  <si>
    <t xml:space="preserve">UI memuat fan, suhu, cartridge, theme, custom colors dan bahasa yang sama.</t>
  </si>
  <si>
    <t xml:space="preserve">PREF-003</t>
  </si>
  <si>
    <t xml:space="preserve">Isolasi antar-driver</t>
  </si>
  <si>
    <t xml:space="preserve">Data Integrity</t>
  </si>
  <si>
    <t xml:space="preserve">Dua driver dengan nilai berbeda</t>
  </si>
  <si>
    <t xml:space="preserve">Alya dan Budi</t>
  </si>
  <si>
    <t xml:space="preserve">Login bergantian dan bandingkan</t>
  </si>
  <si>
    <t xml:space="preserve">Preference tidak tertukar.</t>
  </si>
  <si>
    <t xml:space="preserve">PREF-004</t>
  </si>
  <si>
    <t xml:space="preserve">Custom theme</t>
  </si>
  <si>
    <t xml:space="preserve">Functional/UI</t>
  </si>
  <si>
    <t xml:space="preserve">Gradient, accent, text, background image</t>
  </si>
  <si>
    <t xml:space="preserve">Buat custom theme, save, restart session</t>
  </si>
  <si>
    <t xml:space="preserve">Preview/Home konsisten, asset valid, teks terbaca, setting kembali.</t>
  </si>
  <si>
    <t xml:space="preserve">PREF-005</t>
  </si>
  <si>
    <t xml:space="preserve">Adaptive Face ID approve</t>
  </si>
  <si>
    <t xml:space="preserve">AI/Functional</t>
  </si>
  <si>
    <t xml:space="preserve">Adaptive candidate tersedia</t>
  </si>
  <si>
    <t xml:space="preserve">Candidate wajah terbaru</t>
  </si>
  <si>
    <t xml:space="preserve">Approve candidate</t>
  </si>
  <si>
    <t xml:space="preserve">Embedding diperbarui hanya untuk driver aktif dan status sukses jelas.</t>
  </si>
  <si>
    <t xml:space="preserve">PREF-006</t>
  </si>
  <si>
    <t xml:space="preserve">Adaptive Face ID reject</t>
  </si>
  <si>
    <t xml:space="preserve">Reject</t>
  </si>
  <si>
    <t xml:space="preserve">Reject candidate</t>
  </si>
  <si>
    <t xml:space="preserve">Candidate dibuang dan model utama tidak berubah.</t>
  </si>
  <si>
    <t xml:space="preserve">PREF-007</t>
  </si>
  <si>
    <t xml:space="preserve">Ganti driver</t>
  </si>
  <si>
    <t xml:space="preserve">Home aktif</t>
  </si>
  <si>
    <t xml:space="preserve">Settings → Ganti Driver</t>
  </si>
  <si>
    <t xml:space="preserve">Tekan Ganti Driver</t>
  </si>
  <si>
    <t xml:space="preserve">Drowsiness stop, session bersih, kembali Driver Select dan recognition aktif.</t>
  </si>
  <si>
    <t xml:space="preserve">DMS-001</t>
  </si>
  <si>
    <t xml:space="preserve">Drowsiness</t>
  </si>
  <si>
    <t xml:space="preserve">Start monitoring</t>
  </si>
  <si>
    <t xml:space="preserve">API/Integration</t>
  </si>
  <si>
    <t xml:space="preserve">POST /start_drowsiness</t>
  </si>
  <si>
    <t xml:space="preserve">Start dengan nama driver</t>
  </si>
  <si>
    <t xml:space="preserve">Monitoring active=true dan nama target benar.</t>
  </si>
  <si>
    <t xml:space="preserve">DMS-002</t>
  </si>
  <si>
    <t xml:space="preserve">Start nama kosong</t>
  </si>
  <si>
    <t xml:space="preserve">driver_name kosong</t>
  </si>
  <si>
    <t xml:space="preserve">POST start</t>
  </si>
  <si>
    <t xml:space="preserve">HTTP 400; monitoring tidak aktif palsu.</t>
  </si>
  <si>
    <t xml:space="preserve">DMS-003</t>
  </si>
  <si>
    <t xml:space="preserve">Kalibrasi EAR</t>
  </si>
  <si>
    <t xml:space="preserve">AI</t>
  </si>
  <si>
    <t xml:space="preserve">Wajah frontal valid</t>
  </si>
  <si>
    <t xml:space="preserve">Sampel EAR</t>
  </si>
  <si>
    <t xml:space="preserve">Jalankan fase calibration</t>
  </si>
  <si>
    <t xml:space="preserve">Baseline hanya memakai sampel valid dan calib_remaining turun benar.</t>
  </si>
  <si>
    <t xml:space="preserve">DMS-004</t>
  </si>
  <si>
    <t xml:space="preserve">Mata tertutup</t>
  </si>
  <si>
    <t xml:space="preserve">Monitoring aktif dan calibrated</t>
  </si>
  <si>
    <t xml:space="preserve">Eye closed melewati threshold</t>
  </si>
  <si>
    <t xml:space="preserve">Simulasikan/ujikan mata tertutup</t>
  </si>
  <si>
    <t xml:space="preserve">score/status menjadi drowsy dan alert HMI tampil.</t>
  </si>
  <si>
    <t xml:space="preserve">DMS-005</t>
  </si>
  <si>
    <t xml:space="preserve">Menguap berulang</t>
  </si>
  <si>
    <t xml:space="preserve">Monitoring aktif</t>
  </si>
  <si>
    <t xml:space="preserve">MAR/yawn sequence</t>
  </si>
  <si>
    <t xml:space="preserve">Lakukan yawn sesuai prosedur</t>
  </si>
  <si>
    <t xml:space="preserve">yawn count/window benar dan alert mengikuti konfigurasi.</t>
  </si>
  <si>
    <t xml:space="preserve">DMS-006</t>
  </si>
  <si>
    <t xml:space="preserve">Alert hold/cooldown</t>
  </si>
  <si>
    <t xml:space="preserve">Alert terpicu</t>
  </si>
  <si>
    <t xml:space="preserve">Event berulang</t>
  </si>
  <si>
    <t xml:space="preserve">Kirim event drowsy berturut-turut</t>
  </si>
  <si>
    <t xml:space="preserve">Alert tidak spam dan tetap aktif selama hold/cooldown yang ditetapkan.</t>
  </si>
  <si>
    <t xml:space="preserve">DMS-007</t>
  </si>
  <si>
    <t xml:space="preserve">Toggle OFF</t>
  </si>
  <si>
    <t xml:space="preserve">Functional/API</t>
  </si>
  <si>
    <t xml:space="preserve">Settings switch OFF</t>
  </si>
  <si>
    <t xml:space="preserve">Matikan Peringatan Kantuk</t>
  </si>
  <si>
    <t xml:space="preserve">POST stop dipanggil; polling/alert berhenti.</t>
  </si>
  <si>
    <t xml:space="preserve">DMS-008</t>
  </si>
  <si>
    <t xml:space="preserve">Toggle ON</t>
  </si>
  <si>
    <t xml:space="preserve">Driver aktif; fitur OFF</t>
  </si>
  <si>
    <t xml:space="preserve">Settings switch ON</t>
  </si>
  <si>
    <t xml:space="preserve">Aktifkan kembali</t>
  </si>
  <si>
    <t xml:space="preserve">Monitoring restart untuk driver aktif tanpa duplikasi timer.</t>
  </si>
  <si>
    <t xml:space="preserve">DMS-009</t>
  </si>
  <si>
    <t xml:space="preserve">Driver mismatch</t>
  </si>
  <si>
    <t xml:space="preserve">Security/AI</t>
  </si>
  <si>
    <t xml:space="preserve">Target driver A; kamera melihat B</t>
  </si>
  <si>
    <t xml:space="preserve">recognized_driver != driver_name</t>
  </si>
  <si>
    <t xml:space="preserve">Baca status</t>
  </si>
  <si>
    <t xml:space="preserve">driver_match=false, status waiting_driver, alert/rekomendasi tidak dikaitkan ke A.</t>
  </si>
  <si>
    <t xml:space="preserve">DMS-010</t>
  </si>
  <si>
    <t xml:space="preserve">Kamera/runtime error</t>
  </si>
  <si>
    <t xml:space="preserve">Recovery/API</t>
  </si>
  <si>
    <t xml:space="preserve">Runtime dibuat gagal</t>
  </si>
  <si>
    <t xml:space="preserve">Exception camera</t>
  </si>
  <si>
    <t xml:space="preserve">Start/status/stop</t>
  </si>
  <si>
    <t xml:space="preserve">Backend mengembalikan error nyata, bukan sukses palsu; HMI tetap hidup.</t>
  </si>
  <si>
    <t xml:space="preserve">MOOD-001</t>
  </si>
  <si>
    <t xml:space="preserve">Mood</t>
  </si>
  <si>
    <t xml:space="preserve">Candidate belum stabil</t>
  </si>
  <si>
    <t xml:space="preserve">Mood berubah singkat</t>
  </si>
  <si>
    <t xml:space="preserve">Kirim candidate &lt; required_sec</t>
  </si>
  <si>
    <t xml:space="preserve">Mood confirmed tidak berubah terlalu cepat.</t>
  </si>
  <si>
    <t xml:space="preserve">MOOD-002</t>
  </si>
  <si>
    <t xml:space="preserve">Mood stabil</t>
  </si>
  <si>
    <t xml:space="preserve">Driver match</t>
  </si>
  <si>
    <t xml:space="preserve">Happy/sad stabil</t>
  </si>
  <si>
    <t xml:space="preserve">Pertahankan candidate sampai threshold</t>
  </si>
  <si>
    <t xml:space="preserve">Mood dikonfirmasi dengan confidence dan elapsed yang benar.</t>
  </si>
  <si>
    <t xml:space="preserve">MOOD-003</t>
  </si>
  <si>
    <t xml:space="preserve">Rekomendasi musik</t>
  </si>
  <si>
    <t xml:space="preserve">Mood confirmed; driver_match=true</t>
  </si>
  <si>
    <t xml:space="preserve">happy/sad</t>
  </si>
  <si>
    <t xml:space="preserve">Tunggu dialog lalu pilih buka musik</t>
  </si>
  <si>
    <t xml:space="preserve">Keyword happy upbeat driving / calm relaxing night drive dikirim ke Music.</t>
  </si>
  <si>
    <t xml:space="preserve">DMS-011</t>
  </si>
  <si>
    <t xml:space="preserve">Validasi fisik</t>
  </si>
  <si>
    <t xml:space="preserve">Kondisi aman; driver peserta</t>
  </si>
  <si>
    <t xml:space="preserve">Kacamata, malam/siang, pose</t>
  </si>
  <si>
    <t xml:space="preserve">Jalankan protokol dataset representatif</t>
  </si>
  <si>
    <t xml:space="preserve">Sensitivity, specificity, false alarm/jam memenuhi target yang disepakati.</t>
  </si>
  <si>
    <t xml:space="preserve">HMI-001</t>
  </si>
  <si>
    <t xml:space="preserve">Home/HMI</t>
  </si>
  <si>
    <t xml:space="preserve">Side navigation</t>
  </si>
  <si>
    <t xml:space="preserve">Music/Phone/Home/Menu/Settings</t>
  </si>
  <si>
    <t xml:space="preserve">Buka 5 tab berurutan</t>
  </si>
  <si>
    <t xml:space="preserve">Index aktif, highlight, konten dan back behavior benar.</t>
  </si>
  <si>
    <t xml:space="preserve">HMI-002</t>
  </si>
  <si>
    <t xml:space="preserve">App launcher</t>
  </si>
  <si>
    <t xml:space="preserve">Menu terbuka</t>
  </si>
  <si>
    <t xml:space="preserve">13 launcher apps</t>
  </si>
  <si>
    <t xml:space="preserve">Buka setiap tile dan kembali</t>
  </si>
  <si>
    <t xml:space="preserve">Setiap halaman benar, tidak ada dead-end/crash.</t>
  </si>
  <si>
    <t xml:space="preserve">HMI-003</t>
  </si>
  <si>
    <t xml:space="preserve">Vehicle 3D</t>
  </si>
  <si>
    <t xml:space="preserve">Render model</t>
  </si>
  <si>
    <t xml:space="preserve">Graphics</t>
  </si>
  <si>
    <t xml:space="preserve">Toyota Veloz mesh</t>
  </si>
  <si>
    <t xml:space="preserve">Amati model awal</t>
  </si>
  <si>
    <t xml:space="preserve">Mesh/material tampil utuh dengan transparansi/background benar.</t>
  </si>
  <si>
    <t xml:space="preserve">HMI-004</t>
  </si>
  <si>
    <t xml:space="preserve">Rear clipping</t>
  </si>
  <si>
    <t xml:space="preserve">Graphics/Regression</t>
  </si>
  <si>
    <t xml:space="preserve">Model tampil</t>
  </si>
  <si>
    <t xml:space="preserve">Drag yaw 360° pada zoom default</t>
  </si>
  <si>
    <t xml:space="preserve">Geser model satu putaran penuh dan periksa semua sisi</t>
  </si>
  <si>
    <t xml:space="preserve">Depan/samping/belakang tidak terpotong oleh frame pada semua sudut normal.</t>
  </si>
  <si>
    <t xml:space="preserve">HMI-005</t>
  </si>
  <si>
    <t xml:space="preserve">Route transition glitch</t>
  </si>
  <si>
    <t xml:space="preserve">Driver Select/Add Driver</t>
  </si>
  <si>
    <t xml:space="preserve">Transisi ke Home</t>
  </si>
  <si>
    <t xml:space="preserve">Masuk/keluar Home berulang 20 kali</t>
  </si>
  <si>
    <t xml:space="preserve">Native 3D tidak bocor ke route lain dan baru terlihat setelah bounds/animasi selesai.</t>
  </si>
  <si>
    <t xml:space="preserve">HMI-006</t>
  </si>
  <si>
    <t xml:space="preserve">Gesture performance</t>
  </si>
  <si>
    <t xml:space="preserve">Performance</t>
  </si>
  <si>
    <t xml:space="preserve">Jetson release build</t>
  </si>
  <si>
    <t xml:space="preserve">Drag/pinch/reset</t>
  </si>
  <si>
    <t xml:space="preserve">Manipulasi 3D 2 menit sambil telemetry aktif</t>
  </si>
  <si>
    <t xml:space="preserve">Interaksi terasa lancar, update akhir akurat, UI lain tetap responsif.</t>
  </si>
  <si>
    <t xml:space="preserve">HMI-007</t>
  </si>
  <si>
    <t xml:space="preserve">Vehicle</t>
  </si>
  <si>
    <t xml:space="preserve">Drive mode</t>
  </si>
  <si>
    <t xml:space="preserve">Vehicle page terbuka</t>
  </si>
  <si>
    <t xml:space="preserve">Comfort/Eco/Sport/Custom</t>
  </si>
  <si>
    <t xml:space="preserve">Pilih setiap mode</t>
  </si>
  <si>
    <t xml:space="preserve">Mode/highlight berubah benar dan tampilan tetap konsisten.</t>
  </si>
  <si>
    <t xml:space="preserve">HMI-008</t>
  </si>
  <si>
    <t xml:space="preserve">Tanggal dan waktu</t>
  </si>
  <si>
    <t xml:space="preserve">System clock benar</t>
  </si>
  <si>
    <t xml:space="preserve">Tanggal/waktu lokal</t>
  </si>
  <si>
    <t xml:space="preserve">Bandingkan top bar dengan OS</t>
  </si>
  <si>
    <t xml:space="preserve">Tanggal, hari dan waktu Asia/Jakarta benar.</t>
  </si>
  <si>
    <t xml:space="preserve">GPS-001</t>
  </si>
  <si>
    <t xml:space="preserve">ESP32/GPS</t>
  </si>
  <si>
    <t xml:space="preserve">Serial frame valid</t>
  </si>
  <si>
    <t xml:space="preserve">Protocol</t>
  </si>
  <si>
    <t xml:space="preserve">Decoder aktif</t>
  </si>
  <si>
    <t xml:space="preserve">GPS extended telemetry</t>
  </si>
  <si>
    <t xml:space="preserve">Kirim satu frame lengkap</t>
  </si>
  <si>
    <t xml:space="preserve">Semua field lat/lng/speed/heading/impact/category/Wi-Fi/fix terparse benar.</t>
  </si>
  <si>
    <t xml:space="preserve">GPS-002</t>
  </si>
  <si>
    <t xml:space="preserve">Frame parsial</t>
  </si>
  <si>
    <t xml:space="preserve">Negative/Protocol</t>
  </si>
  <si>
    <t xml:space="preserve">Potongan byte</t>
  </si>
  <si>
    <t xml:space="preserve">Kirim frame dalam beberapa chunk</t>
  </si>
  <si>
    <t xml:space="preserve">Decoder menunggu newline dan hanya emit satu record lengkap.</t>
  </si>
  <si>
    <t xml:space="preserve">GPS-003</t>
  </si>
  <si>
    <t xml:space="preserve">Frame rusak</t>
  </si>
  <si>
    <t xml:space="preserve">Prefix/numeric invalid</t>
  </si>
  <si>
    <t xml:space="preserve">Kirim frame malformed</t>
  </si>
  <si>
    <t xml:space="preserve">Frame ditolak tanpa crash atau merusak frame berikutnya.</t>
  </si>
  <si>
    <t xml:space="preserve">GPS-004</t>
  </si>
  <si>
    <t xml:space="preserve">GPS/Wi-Fi offline</t>
  </si>
  <si>
    <t xml:space="preserve">ESP32 via USB</t>
  </si>
  <si>
    <t xml:space="preserve">wifiConnected=false; gpsFix=false</t>
  </si>
  <si>
    <t xml:space="preserve">Matikan Wi-Fi/GPS</t>
  </si>
  <si>
    <t xml:space="preserve">USB telemetry tetap usable dan HMI menunjukkan status yang benar.</t>
  </si>
  <si>
    <t xml:space="preserve">GPS-005</t>
  </si>
  <si>
    <t xml:space="preserve">USB reconnect</t>
  </si>
  <si>
    <t xml:space="preserve">HMI aktif</t>
  </si>
  <si>
    <t xml:space="preserve">Cabut/pasang ESP32</t>
  </si>
  <si>
    <t xml:space="preserve">Cabut 10 detik lalu pasang</t>
  </si>
  <si>
    <t xml:space="preserve">Serial auto-scan, status disconnect/reconnect dan data pulih tanpa restart.</t>
  </si>
  <si>
    <t xml:space="preserve">POT-001</t>
  </si>
  <si>
    <t xml:space="preserve">Pothole</t>
  </si>
  <si>
    <t xml:space="preserve">Jalan normal</t>
  </si>
  <si>
    <t xml:space="preserve">Algorithm</t>
  </si>
  <si>
    <t xml:space="preserve">Firmware algorithm test</t>
  </si>
  <si>
    <t xml:space="preserve">speed/severity normal</t>
  </si>
  <si>
    <t xml:space="preserve">Kirim sampel normal</t>
  </si>
  <si>
    <t xml:space="preserve">Kategori normal dan tidak membuat marker palsu.</t>
  </si>
  <si>
    <t xml:space="preserve">POT-002</t>
  </si>
  <si>
    <t xml:space="preserve">Bumper threshold</t>
  </si>
  <si>
    <t xml:space="preserve">speed ≤25; severity ≥2</t>
  </si>
  <si>
    <t xml:space="preserve">Kirim event</t>
  </si>
  <si>
    <t xml:space="preserve">Kategori bumper dengan severity benar.</t>
  </si>
  <si>
    <t xml:space="preserve">POT-003</t>
  </si>
  <si>
    <t xml:space="preserve">Pothole threshold</t>
  </si>
  <si>
    <t xml:space="preserve">speed ≥8; severity ≥4</t>
  </si>
  <si>
    <t xml:space="preserve">Kategori pothole diprioritaskan terhadap bumper.</t>
  </si>
  <si>
    <t xml:space="preserve">POT-004</t>
  </si>
  <si>
    <t xml:space="preserve">Event hold</t>
  </si>
  <si>
    <t xml:space="preserve">Algorithm/Integration</t>
  </si>
  <si>
    <t xml:space="preserve">Event singkat terjadi</t>
  </si>
  <si>
    <t xml:space="preserve">Serial hold 1.5 detik</t>
  </si>
  <si>
    <t xml:space="preserve">Baca beberapa frame setelah impact</t>
  </si>
  <si>
    <t xml:space="preserve">Event bertahan cukup agar Flutter membuat marker tanpa duplicate tak wajar.</t>
  </si>
  <si>
    <t xml:space="preserve">POT-005</t>
  </si>
  <si>
    <t xml:space="preserve">Marker realtime</t>
  </si>
  <si>
    <t xml:space="preserve">Integration/UI</t>
  </si>
  <si>
    <t xml:space="preserve">Pothole detection ON</t>
  </si>
  <si>
    <t xml:space="preserve">Telemetry event valid</t>
  </si>
  <si>
    <t xml:space="preserve">Kirim bumper/pothole</t>
  </si>
  <si>
    <t xml:space="preserve">Marker, severity dan notifikasi muncul pada lokasi yang benar.</t>
  </si>
  <si>
    <t xml:space="preserve">POT-006</t>
  </si>
  <si>
    <t xml:space="preserve">Feature ON</t>
  </si>
  <si>
    <t xml:space="preserve">Settings toggle</t>
  </si>
  <si>
    <t xml:space="preserve">Matikan fitur lalu kirim event</t>
  </si>
  <si>
    <t xml:space="preserve">Tidak ada alert/marker baru ketika OFF.</t>
  </si>
  <si>
    <t xml:space="preserve">POT-007</t>
  </si>
  <si>
    <t xml:space="preserve">Backend sync</t>
  </si>
  <si>
    <t xml:space="preserve">Integration/API</t>
  </si>
  <si>
    <t xml:space="preserve">ESP32 Wi-Fi dan GPS fix ≥4 satelit</t>
  </si>
  <si>
    <t xml:space="preserve">POST telemetry 500 ms</t>
  </si>
  <si>
    <t xml:space="preserve">Pantau request backend</t>
  </si>
  <si>
    <t xml:space="preserve">Payload kategori/severity/lokasi dikirim pada interval dan retry tidak memblokir serial.</t>
  </si>
  <si>
    <t xml:space="preserve">POT-008</t>
  </si>
  <si>
    <t xml:space="preserve">Captive portal</t>
  </si>
  <si>
    <t xml:space="preserve">Hardware/Usability</t>
  </si>
  <si>
    <t xml:space="preserve">ESP32 baru/tidak punya Wi-Fi</t>
  </si>
  <si>
    <t xml:space="preserve">SSID Pothole-ESP32-Setup</t>
  </si>
  <si>
    <t xml:space="preserve">Connect 2.4 GHz, buka 192.168.4.1, simpan Wi-Fi</t>
  </si>
  <si>
    <t xml:space="preserve">Portal dapat dibuka, kredensial tersimpan, reconnect non-blocking.</t>
  </si>
  <si>
    <t xml:space="preserve">MAP-001</t>
  </si>
  <si>
    <t xml:space="preserve">Maps</t>
  </si>
  <si>
    <t xml:space="preserve">Tile loading</t>
  </si>
  <si>
    <t xml:space="preserve">Internet/tile source aktif</t>
  </si>
  <si>
    <t xml:space="preserve">Lokasi valid</t>
  </si>
  <si>
    <t xml:space="preserve">Buka Home dan Map Detail</t>
  </si>
  <si>
    <t xml:space="preserve">Tile tampil; error jaringan tidak membuat peta blank permanen/crash.</t>
  </si>
  <si>
    <t xml:space="preserve">MAP-002</t>
  </si>
  <si>
    <t xml:space="preserve">Heading/position</t>
  </si>
  <si>
    <t xml:space="preserve">GPS fix dan kendaraan bergerak</t>
  </si>
  <si>
    <t xml:space="preserve">speed ≥3 km/h</t>
  </si>
  <si>
    <t xml:space="preserve">Bandingkan course dengan arah peta</t>
  </si>
  <si>
    <t xml:space="preserve">Ikon/heading sesuai; heading terakhir stabil saat berhenti.</t>
  </si>
  <si>
    <t xml:space="preserve">MAP-003</t>
  </si>
  <si>
    <t xml:space="preserve">Route calculation</t>
  </si>
  <si>
    <t xml:space="preserve">Origin/destination valid</t>
  </si>
  <si>
    <t xml:space="preserve">Koordinat rute</t>
  </si>
  <si>
    <t xml:space="preserve">Buat route</t>
  </si>
  <si>
    <t xml:space="preserve">Polyline, jarak, durasi dan urutan titik valid.</t>
  </si>
  <si>
    <t xml:space="preserve">MAP-004</t>
  </si>
  <si>
    <t xml:space="preserve">Reroute</t>
  </si>
  <si>
    <t xml:space="preserve">Recovery/Functional</t>
  </si>
  <si>
    <t xml:space="preserve">Navigasi aktif</t>
  </si>
  <si>
    <t xml:space="preserve">Penyimpangan rute</t>
  </si>
  <si>
    <t xml:space="preserve">Bergerak keluar koridor</t>
  </si>
  <si>
    <t xml:space="preserve">State menyimpang terdeteksi dan route/instruksi diperbarui aman.</t>
  </si>
  <si>
    <t xml:space="preserve">MAP-005</t>
  </si>
  <si>
    <t xml:space="preserve">GPS loss/recovery</t>
  </si>
  <si>
    <t xml:space="preserve">Tunnel/disable antenna</t>
  </si>
  <si>
    <t xml:space="preserve">Hilangkan fix lalu pulihkan</t>
  </si>
  <si>
    <t xml:space="preserve">UI menunjukkan loss, tidak lompat berbahaya, dan posisi pulih setelah fix.</t>
  </si>
  <si>
    <t xml:space="preserve">POT-009</t>
  </si>
  <si>
    <t xml:space="preserve">Validasi jalan nyata</t>
  </si>
  <si>
    <t xml:space="preserve">Hardware/AI Validation</t>
  </si>
  <si>
    <t xml:space="preserve">Lintasan tertutup dan aman</t>
  </si>
  <si>
    <t xml:space="preserve">Lubang, polisi tidur, jalan bergelombang</t>
  </si>
  <si>
    <t xml:space="preserve">Jalankan beberapa pass pada variasi speed</t>
  </si>
  <si>
    <t xml:space="preserve">Confusion matrix/precision/recall memenuhi target; event false positive terdokumentasi.</t>
  </si>
  <si>
    <t xml:space="preserve">MUS-001</t>
  </si>
  <si>
    <t xml:space="preserve">Music/Spotify</t>
  </si>
  <si>
    <t xml:space="preserve">Authentication/connect</t>
  </si>
  <si>
    <t xml:space="preserve">Akun Spotify dan network</t>
  </si>
  <si>
    <t xml:space="preserve">Refresh token/device</t>
  </si>
  <si>
    <t xml:space="preserve">Buka Music dan connect</t>
  </si>
  <si>
    <t xml:space="preserve">Device/status Spotify tersedia atau error autentikasi jelas.</t>
  </si>
  <si>
    <t xml:space="preserve">MUS-002</t>
  </si>
  <si>
    <t xml:space="preserve">Search</t>
  </si>
  <si>
    <t xml:space="preserve">Spotify connected</t>
  </si>
  <si>
    <t xml:space="preserve">Judul/artist valid dan invalid</t>
  </si>
  <si>
    <t xml:space="preserve">Cari musik</t>
  </si>
  <si>
    <t xml:space="preserve">Hasil relevan tampil; query kosong/error aman.</t>
  </si>
  <si>
    <t xml:space="preserve">MUS-003</t>
  </si>
  <si>
    <t xml:space="preserve">Playback controls</t>
  </si>
  <si>
    <t xml:space="preserve">Track aktif</t>
  </si>
  <si>
    <t xml:space="preserve">Play/pause/next/previous</t>
  </si>
  <si>
    <t xml:space="preserve">Tekan setiap kontrol</t>
  </si>
  <si>
    <t xml:space="preserve">State, metadata dan audio mengikuti aksi tepat satu kali.</t>
  </si>
  <si>
    <t xml:space="preserve">MUS-004</t>
  </si>
  <si>
    <t xml:space="preserve">Seek/progress</t>
  </si>
  <si>
    <t xml:space="preserve">Slider position</t>
  </si>
  <si>
    <t xml:space="preserve">Geser ke 25%, 50%, 90%</t>
  </si>
  <si>
    <t xml:space="preserve">Playback pindah mendekati posisi dan progress kembali sinkron.</t>
  </si>
  <si>
    <t xml:space="preserve">MUS-005</t>
  </si>
  <si>
    <t xml:space="preserve">Lyrics</t>
  </si>
  <si>
    <t xml:space="preserve">Track dengan lirik</t>
  </si>
  <si>
    <t xml:space="preserve">Title/artist</t>
  </si>
  <si>
    <t xml:space="preserve">Putar lagu 2 menit</t>
  </si>
  <si>
    <t xml:space="preserve">Lirik benar, cache bekerja, baris sinkron dan fallback aman bila tidak tersedia.</t>
  </si>
  <si>
    <t xml:space="preserve">MUS-006</t>
  </si>
  <si>
    <t xml:space="preserve">Mood suggestion</t>
  </si>
  <si>
    <t xml:space="preserve">MOOD-003 terpenuhi</t>
  </si>
  <si>
    <t xml:space="preserve">Suggested keyword</t>
  </si>
  <si>
    <t xml:space="preserve">Buka rekomendasi</t>
  </si>
  <si>
    <t xml:space="preserve">Search Music otomatis memakai keyword mood dan user tetap punya kontrol.</t>
  </si>
  <si>
    <t xml:space="preserve">MUS-007</t>
  </si>
  <si>
    <t xml:space="preserve">Audio</t>
  </si>
  <si>
    <t xml:space="preserve">System volume</t>
  </si>
  <si>
    <t xml:space="preserve">Hardware/Integration</t>
  </si>
  <si>
    <t xml:space="preserve">Default sink tersedia</t>
  </si>
  <si>
    <t xml:space="preserve">0%, 30%, 70%, 100%</t>
  </si>
  <si>
    <t xml:space="preserve">Geser volume Settings</t>
  </si>
  <si>
    <t xml:space="preserve">PulseAudio/ALSA volume berubah sesuai nilai tanpa UI freeze.</t>
  </si>
  <si>
    <t xml:space="preserve">RAD-001</t>
  </si>
  <si>
    <t xml:space="preserve">Radio</t>
  </si>
  <si>
    <t xml:space="preserve">Station controls</t>
  </si>
  <si>
    <t xml:space="preserve">Internet aktif</t>
  </si>
  <si>
    <t xml:space="preserve">Daftar station</t>
  </si>
  <si>
    <t xml:space="preserve">Pilih, play/pause, next/previous</t>
  </si>
  <si>
    <t xml:space="preserve">Station/metadata/audio sesuai dan error stream tertangani.</t>
  </si>
  <si>
    <t xml:space="preserve">VID-001</t>
  </si>
  <si>
    <t xml:space="preserve">Video</t>
  </si>
  <si>
    <t xml:space="preserve">Playback</t>
  </si>
  <si>
    <t xml:space="preserve">Asset video tersedia</t>
  </si>
  <si>
    <t xml:space="preserve">Video produksi</t>
  </si>
  <si>
    <t xml:space="preserve">Open/play/pause/seek</t>
  </si>
  <si>
    <t xml:space="preserve">Video dan audio sinkron; posisi/controls benar.</t>
  </si>
  <si>
    <t xml:space="preserve">VID-002</t>
  </si>
  <si>
    <t xml:space="preserve">Speed/volume/close</t>
  </si>
  <si>
    <t xml:space="preserve">Video berjalan</t>
  </si>
  <si>
    <t xml:space="preserve">0.75×,1×,1.25×</t>
  </si>
  <si>
    <t xml:space="preserve">Uji speed, volume, lalu close</t>
  </si>
  <si>
    <t xml:space="preserve">Speed/audio state benar dan player/resource dilepas saat close.</t>
  </si>
  <si>
    <t xml:space="preserve">BT-001</t>
  </si>
  <si>
    <t xml:space="preserve">Bluetooth</t>
  </si>
  <si>
    <t xml:space="preserve">Discovery</t>
  </si>
  <si>
    <t xml:space="preserve">Hardware</t>
  </si>
  <si>
    <t xml:space="preserve">Adapter Bluetooth aktif</t>
  </si>
  <si>
    <t xml:space="preserve">Ponsel discoverable</t>
  </si>
  <si>
    <t xml:space="preserve">Start scan</t>
  </si>
  <si>
    <t xml:space="preserve">Perangkat muncul satu kali dengan nama/MAC dan scan dapat dihentikan.</t>
  </si>
  <si>
    <t xml:space="preserve">BT-002</t>
  </si>
  <si>
    <t xml:space="preserve">Pair/connect</t>
  </si>
  <si>
    <t xml:space="preserve">Device ditemukan</t>
  </si>
  <si>
    <t xml:space="preserve">PIN/confirmation</t>
  </si>
  <si>
    <t xml:space="preserve">Pair dan connect</t>
  </si>
  <si>
    <t xml:space="preserve">Status paired/connected benar dan tersimpan sesuai OS.</t>
  </si>
  <si>
    <t xml:space="preserve">BT-003</t>
  </si>
  <si>
    <t xml:space="preserve">Disconnect/reconnect</t>
  </si>
  <si>
    <t xml:space="preserve">Ponsel connected</t>
  </si>
  <si>
    <t xml:space="preserve">Bluetooth toggle</t>
  </si>
  <si>
    <t xml:space="preserve">Disconnect, restart page, reconnect</t>
  </si>
  <si>
    <t xml:space="preserve">UI tidak hang dan status pulih.</t>
  </si>
  <si>
    <t xml:space="preserve">PHONE-001</t>
  </si>
  <si>
    <t xml:space="preserve">Phone</t>
  </si>
  <si>
    <t xml:space="preserve">Phone page</t>
  </si>
  <si>
    <t xml:space="preserve">Phone tab</t>
  </si>
  <si>
    <t xml:space="preserve">Buka Phone dan uji kontrol yang in-scope</t>
  </si>
  <si>
    <t xml:space="preserve">Label/empty state jelas; fitur yang belum terintegrasi tidak memberi sukses palsu.</t>
  </si>
  <si>
    <t xml:space="preserve">USB-001</t>
  </si>
  <si>
    <t xml:space="preserve">USB</t>
  </si>
  <si>
    <t xml:space="preserve">Device detection</t>
  </si>
  <si>
    <t xml:space="preserve">USB dilepas</t>
  </si>
  <si>
    <t xml:space="preserve">Storage/audio USB</t>
  </si>
  <si>
    <t xml:space="preserve">Pasang USB dan buka page</t>
  </si>
  <si>
    <t xml:space="preserve">Device, storage dan connection status benar.</t>
  </si>
  <si>
    <t xml:space="preserve">USB-002</t>
  </si>
  <si>
    <t xml:space="preserve">Connect audio</t>
  </si>
  <si>
    <t xml:space="preserve">USB audio tersedia</t>
  </si>
  <si>
    <t xml:space="preserve">Connect Audio</t>
  </si>
  <si>
    <t xml:space="preserve">Tekan connect</t>
  </si>
  <si>
    <t xml:space="preserve">Sink/audio USB diaktifkan atau error jelas.</t>
  </si>
  <si>
    <t xml:space="preserve">USB-003</t>
  </si>
  <si>
    <t xml:space="preserve">Disconnect</t>
  </si>
  <si>
    <t xml:space="preserve">USB connected</t>
  </si>
  <si>
    <t xml:space="preserve">Disconnect button/cabut fisik</t>
  </si>
  <si>
    <t xml:space="preserve">Disconnect lalu cabut</t>
  </si>
  <si>
    <t xml:space="preserve">State bersih dan UI tetap stabil.</t>
  </si>
  <si>
    <t xml:space="preserve">CAST-001</t>
  </si>
  <si>
    <t xml:space="preserve">Screen Cast</t>
  </si>
  <si>
    <t xml:space="preserve">ADB detection</t>
  </si>
  <si>
    <t xml:space="preserve">Android USB debugging aktif</t>
  </si>
  <si>
    <t xml:space="preserve">adb devices</t>
  </si>
  <si>
    <t xml:space="preserve">Buka Screen Cast</t>
  </si>
  <si>
    <t xml:space="preserve">Device terdeteksi dan authorization state jelas.</t>
  </si>
  <si>
    <t xml:space="preserve">CAST-002</t>
  </si>
  <si>
    <t xml:space="preserve">scrcpy lifecycle</t>
  </si>
  <si>
    <t xml:space="preserve">Integration/Recovery</t>
  </si>
  <si>
    <t xml:space="preserve">ADB authorized</t>
  </si>
  <si>
    <t xml:space="preserve">Start/stop cast</t>
  </si>
  <si>
    <t xml:space="preserve">Mulai lalu hentikan cast</t>
  </si>
  <si>
    <t xml:space="preserve">Proses tidak duplikat/zombie dan error ditampilkan.</t>
  </si>
  <si>
    <t xml:space="preserve">RJ45-001</t>
  </si>
  <si>
    <t xml:space="preserve">RJ45/TCP</t>
  </si>
  <si>
    <t xml:space="preserve">Command ACK</t>
  </si>
  <si>
    <t xml:space="preserve">Protocol/Integration</t>
  </si>
  <si>
    <t xml:space="preserve">Listener 0.0.0.0:5050</t>
  </si>
  <si>
    <t xml:space="preserve">NDJSON command</t>
  </si>
  <si>
    <t xml:space="preserve">Kirim SOP/music/avatar reset</t>
  </si>
  <si>
    <t xml:space="preserve">Handler tepat dan ACK newline-delimited berisi request_id/status.</t>
  </si>
  <si>
    <t xml:space="preserve">RJ45-002</t>
  </si>
  <si>
    <t xml:space="preserve">Invalid/partial JSON</t>
  </si>
  <si>
    <t xml:space="preserve">TCP connected</t>
  </si>
  <si>
    <t xml:space="preserve">Malformed dan partial frame</t>
  </si>
  <si>
    <t xml:space="preserve">Kirim data lalu frame valid</t>
  </si>
  <si>
    <t xml:space="preserve">Invalid mendapat ACK error; listener menerima frame berikut/reconnect.</t>
  </si>
  <si>
    <t xml:space="preserve">RJ45-003</t>
  </si>
  <si>
    <t xml:space="preserve">Cable recovery</t>
  </si>
  <si>
    <t xml:space="preserve">Hardware/Recovery</t>
  </si>
  <si>
    <t xml:space="preserve">Peer 192.168.50.1 connected</t>
  </si>
  <si>
    <t xml:space="preserve">Cabut/pasang RJ45</t>
  </si>
  <si>
    <t xml:space="preserve">Putus 30 detik lalu sambung</t>
  </si>
  <si>
    <t xml:space="preserve">Listener/HMI tetap hidup dan peer dapat reconnect tanpa restart.</t>
  </si>
  <si>
    <t xml:space="preserve">MQTT-001</t>
  </si>
  <si>
    <t xml:space="preserve">MQTT/AI</t>
  </si>
  <si>
    <t xml:space="preserve">Avatar commands</t>
  </si>
  <si>
    <t xml:space="preserve">MQTT/TCP handlers aktif</t>
  </si>
  <si>
    <t xml:space="preserve">avatar word/reset/state</t>
  </si>
  <si>
    <t xml:space="preserve">Kirim urutan command</t>
  </si>
  <si>
    <t xml:space="preserve">State/subtitle diapply berurutan dan reset benar.</t>
  </si>
  <si>
    <t xml:space="preserve">AI-001</t>
  </si>
  <si>
    <t xml:space="preserve">AI Assistant</t>
  </si>
  <si>
    <t xml:space="preserve">Action parser</t>
  </si>
  <si>
    <t xml:space="preserve">Functional/Negative</t>
  </si>
  <si>
    <t xml:space="preserve">Parser aktif</t>
  </si>
  <si>
    <t xml:space="preserve">Perintah valid, alias, input asing</t>
  </si>
  <si>
    <t xml:space="preserve">Parse seluruh variasi</t>
  </si>
  <si>
    <t xml:space="preserve">Action valid dipetakan benar; input asing aman dan tidak mengeksekusi aksi lain.</t>
  </si>
  <si>
    <t xml:space="preserve">AA-001</t>
  </si>
  <si>
    <t xml:space="preserve">Projection</t>
  </si>
  <si>
    <t xml:space="preserve">USB detection/AOAP</t>
  </si>
  <si>
    <t xml:space="preserve">Hardware/Protocol</t>
  </si>
  <si>
    <t xml:space="preserve">Samsung/Android dan kabel data</t>
  </si>
  <si>
    <t xml:space="preserve">04e8 MTP → 18d1 accessory</t>
  </si>
  <si>
    <t xml:space="preserve">Colok lalu pilih Android Auto Kabel</t>
  </si>
  <si>
    <t xml:space="preserve">Ponsel terdeteksi, AOAP handshake/re-enumeration dan service setup selesai.</t>
  </si>
  <si>
    <t xml:space="preserve">AA-002</t>
  </si>
  <si>
    <t xml:space="preserve">TLS/service discovery</t>
  </si>
  <si>
    <t xml:space="preserve">AOAP transport tersedia</t>
  </si>
  <si>
    <t xml:space="preserve">Session frames</t>
  </si>
  <si>
    <t xml:space="preserve">Jalankan handshake</t>
  </si>
  <si>
    <t xml:space="preserve">TLS, version, service discovery dan channel setup tidak error.</t>
  </si>
  <si>
    <t xml:space="preserve">AA-003</t>
  </si>
  <si>
    <t xml:space="preserve">Video/NVDEC</t>
  </si>
  <si>
    <t xml:space="preserve">Graphics/Hardware</t>
  </si>
  <si>
    <t xml:space="preserve">AA session running</t>
  </si>
  <si>
    <t xml:space="preserve">H.264 1280×720</t>
  </si>
  <si>
    <t xml:space="preserve">Buka Maps 15 menit</t>
  </si>
  <si>
    <t xml:space="preserve">Frame fullscreen stabil, decoder NVDEC/VIC diharapkan, tidak black/freeze.</t>
  </si>
  <si>
    <t xml:space="preserve">AA-004</t>
  </si>
  <si>
    <t xml:space="preserve">Touch input</t>
  </si>
  <si>
    <t xml:space="preserve">Input/Hardware</t>
  </si>
  <si>
    <t xml:space="preserve">Video AA tampil</t>
  </si>
  <si>
    <t xml:space="preserve">Down/move/up</t>
  </si>
  <si>
    <t xml:space="preserve">Tekan beberapa posisi dan swipe</t>
  </si>
  <si>
    <t xml:space="preserve">Koordinat tepat, tidak offset/double tap, ponsel merespons.</t>
  </si>
  <si>
    <t xml:space="preserve">AA-005</t>
  </si>
  <si>
    <t xml:space="preserve">Audio channels</t>
  </si>
  <si>
    <t xml:space="preserve">Audio/Hardware</t>
  </si>
  <si>
    <t xml:space="preserve">AA running</t>
  </si>
  <si>
    <t xml:space="preserve">Music 48k stereo; nav/system 16k mono</t>
  </si>
  <si>
    <t xml:space="preserve">Putar musik dan navigasi</t>
  </si>
  <si>
    <t xml:space="preserve">Audio keluar di sink default, prompt mix benar, tanpa startup glitch/drop abnormal.</t>
  </si>
  <si>
    <t xml:space="preserve">AA-006</t>
  </si>
  <si>
    <t xml:space="preserve">Disconnect to MTP</t>
  </si>
  <si>
    <t xml:space="preserve">AA aktif</t>
  </si>
  <si>
    <t xml:space="preserve">Tekan Disconnect lalu cek lsusb</t>
  </si>
  <si>
    <t xml:space="preserve">Receiver berhenti bersih dan ponsel kembali MTP.</t>
  </si>
  <si>
    <t xml:space="preserve">AA-007</t>
  </si>
  <si>
    <t xml:space="preserve">Repeated reconnect</t>
  </si>
  <si>
    <t xml:space="preserve">Ponsel target</t>
  </si>
  <si>
    <t xml:space="preserve">20 connect/disconnect</t>
  </si>
  <si>
    <t xml:space="preserve">Ulangi koneksi 20 kali</t>
  </si>
  <si>
    <t xml:space="preserve">Tidak ada TLS stuck, zombie receiver, memory leak, atau gagal re-enumerasi.</t>
  </si>
  <si>
    <t xml:space="preserve">AAW-001</t>
  </si>
  <si>
    <t xml:space="preserve">Wireless setup</t>
  </si>
  <si>
    <t xml:space="preserve">Bluetooth/Wi-Fi ponsel aktif</t>
  </si>
  <si>
    <t xml:space="preserve">Hotspot SDT Multimedia; WPP</t>
  </si>
  <si>
    <t xml:space="preserve">Pilih wireless, pair Bluetooth, setujui dialog</t>
  </si>
  <si>
    <t xml:space="preserve">WPP sukses, ponsel masuk hotspot, sesi TCP 5277 aktif.</t>
  </si>
  <si>
    <t xml:space="preserve">AAW-002</t>
  </si>
  <si>
    <t xml:space="preserve">Wireless media/input</t>
  </si>
  <si>
    <t xml:space="preserve">AA wireless aktif</t>
  </si>
  <si>
    <t xml:space="preserve">Maps/music/touch</t>
  </si>
  <si>
    <t xml:space="preserve">Gunakan 30 menit</t>
  </si>
  <si>
    <t xml:space="preserve">Video/audio/touch stabil setara kabel dalam batas latency yang disepakati.</t>
  </si>
  <si>
    <t xml:space="preserve">AAW-003</t>
  </si>
  <si>
    <t xml:space="preserve">Wi-Fi restoration</t>
  </si>
  <si>
    <t xml:space="preserve">Jetson sebelumnya terhubung internet</t>
  </si>
  <si>
    <t xml:space="preserve">Disconnect wireless</t>
  </si>
  <si>
    <t xml:space="preserve">Catat Wi-Fi sebelum, mulai AA, disconnect</t>
  </si>
  <si>
    <t xml:space="preserve">NetworkManager memulihkan koneksi Wi-Fi sebelumnya.</t>
  </si>
  <si>
    <t xml:space="preserve">PROJ-001</t>
  </si>
  <si>
    <t xml:space="preserve">Suspend/resume</t>
  </si>
  <si>
    <t xml:space="preserve">Lifecycle</t>
  </si>
  <si>
    <t xml:space="preserve">Projection running</t>
  </si>
  <si>
    <t xml:space="preserve">Suspend/Resume</t>
  </si>
  <si>
    <t xml:space="preserve">Tekan suspend lalu resume</t>
  </si>
  <si>
    <t xml:space="preserve">State dan texture/audio pause/resume tanpa sesi ganda.</t>
  </si>
  <si>
    <t xml:space="preserve">PROJ-002</t>
  </si>
  <si>
    <t xml:space="preserve">Simulator fallback</t>
  </si>
  <si>
    <t xml:space="preserve">Fallback</t>
  </si>
  <si>
    <t xml:space="preserve">Receiver native unavailable</t>
  </si>
  <si>
    <t xml:space="preserve">Simulation mode</t>
  </si>
  <si>
    <t xml:space="preserve">Start projection</t>
  </si>
  <si>
    <t xml:space="preserve">UI memberi label simulator dan tetap dapat diuji tanpa sukses native palsu.</t>
  </si>
  <si>
    <t xml:space="preserve">CP-001</t>
  </si>
  <si>
    <t xml:space="preserve">CarPlay page separation</t>
  </si>
  <si>
    <t xml:space="preserve">UI/Regression</t>
  </si>
  <si>
    <t xml:space="preserve">Menu tersedia</t>
  </si>
  <si>
    <t xml:space="preserve">Apple CarPlay</t>
  </si>
  <si>
    <t xml:space="preserve">Buka halaman CarPlay</t>
  </si>
  <si>
    <t xml:space="preserve">Tidak menampilkan label/kontrol Android Auto dan target controller benar.</t>
  </si>
  <si>
    <t xml:space="preserve">CP-002</t>
  </si>
  <si>
    <t xml:space="preserve">CarPlay physical</t>
  </si>
  <si>
    <t xml:space="preserve">Hardware/Gap</t>
  </si>
  <si>
    <t xml:space="preserve">Receiver/iPhone tersertifikasi tersedia</t>
  </si>
  <si>
    <t xml:space="preserve">iPhone target</t>
  </si>
  <si>
    <t xml:space="preserve">Hubungkan dan uji video/touch/audio</t>
  </si>
  <si>
    <t xml:space="preserve">Berfungsi sesuai scope; bila receiver belum tersedia, tandai N/A/gap, bukan Lulus.</t>
  </si>
  <si>
    <t xml:space="preserve">PROJ-003</t>
  </si>
  <si>
    <t xml:space="preserve">Stress</t>
  </si>
  <si>
    <t xml:space="preserve">Jetson MAXN/production profile</t>
  </si>
  <si>
    <t xml:space="preserve">AA + DMS + ESP + audio</t>
  </si>
  <si>
    <t xml:space="preserve">Jalankan semua 60 menit</t>
  </si>
  <si>
    <t xml:space="preserve">FPS/audio stabil, CPU/GPU/RAM/suhu dalam target, tidak throttling/crash.</t>
  </si>
  <si>
    <t xml:space="preserve">FRAG-001</t>
  </si>
  <si>
    <t xml:space="preserve">Smart Fragrance</t>
  </si>
  <si>
    <t xml:space="preserve">MQTT connection</t>
  </si>
  <si>
    <t xml:space="preserve">Broker/device tersedia</t>
  </si>
  <si>
    <t xml:space="preserve">humidifier/control/state</t>
  </si>
  <si>
    <t xml:space="preserve">Buka page dan pantau status</t>
  </si>
  <si>
    <t xml:space="preserve">Connect/subscribe/publish sukses atau error jelas tanpa freeze.</t>
  </si>
  <si>
    <t xml:space="preserve">FRAG-002</t>
  </si>
  <si>
    <t xml:space="preserve">Coffee shortcut</t>
  </si>
  <si>
    <t xml:space="preserve">Functional/Hardware</t>
  </si>
  <si>
    <t xml:space="preserve">Device connected</t>
  </si>
  <si>
    <t xml:space="preserve">Cartridge 1</t>
  </si>
  <si>
    <t xml:space="preserve">Pilih Coffee</t>
  </si>
  <si>
    <t xml:space="preserve">mainPower ON, motor1 ON speed 3, motor2 OFF.</t>
  </si>
  <si>
    <t xml:space="preserve">FRAG-003</t>
  </si>
  <si>
    <t xml:space="preserve">Lavender shortcut</t>
  </si>
  <si>
    <t xml:space="preserve">Cartridge 2</t>
  </si>
  <si>
    <t xml:space="preserve">Pilih Lavender</t>
  </si>
  <si>
    <t xml:space="preserve">mainPower ON, motor1 OFF, motor2 ON speed 3.</t>
  </si>
  <si>
    <t xml:space="preserve">FRAG-004</t>
  </si>
  <si>
    <t xml:space="preserve">Both/Off</t>
  </si>
  <si>
    <t xml:space="preserve">Functional/Fail-safe</t>
  </si>
  <si>
    <t xml:space="preserve">Both lalu Off</t>
  </si>
  <si>
    <t xml:space="preserve">Aktifkan keduanya lalu matikan</t>
  </si>
  <si>
    <t xml:space="preserve">Kedua motor sesuai Both; Off mematikan semua output.</t>
  </si>
  <si>
    <t xml:space="preserve">FRAG-005</t>
  </si>
  <si>
    <t xml:space="preserve">Speed levels</t>
  </si>
  <si>
    <t xml:space="preserve">Motor aktif</t>
  </si>
  <si>
    <t xml:space="preserve">Level 1,2,3</t>
  </si>
  <si>
    <t xml:space="preserve">Uji tiap level tiap motor</t>
  </si>
  <si>
    <t xml:space="preserve">PWM/output fisik meningkat sesuai level dan state feedback sama.</t>
  </si>
  <si>
    <t xml:space="preserve">FRAG-006</t>
  </si>
  <si>
    <t xml:space="preserve">Auto/manual</t>
  </si>
  <si>
    <t xml:space="preserve">Main power ON</t>
  </si>
  <si>
    <t xml:space="preserve">Interval 10s dan manual</t>
  </si>
  <si>
    <t xml:space="preserve">Aktifkan auto lalu manual</t>
  </si>
  <si>
    <t xml:space="preserve">Siklus sesuai interval; manual menghentikan auto timer aman.</t>
  </si>
  <si>
    <t xml:space="preserve">FRAG-007</t>
  </si>
  <si>
    <t xml:space="preserve">Invalid command</t>
  </si>
  <si>
    <t xml:space="preserve">Negative/Fail-safe</t>
  </si>
  <si>
    <t xml:space="preserve">Parser command aktif</t>
  </si>
  <si>
    <t xml:space="preserve">Cartridge/level invalid</t>
  </si>
  <si>
    <t xml:space="preserve">Kirim payload invalid</t>
  </si>
  <si>
    <t xml:space="preserve">Output memilih safe power-off/menolak; tidak mengaktifkan motor salah.</t>
  </si>
  <si>
    <t xml:space="preserve">FRAG-008</t>
  </si>
  <si>
    <t xml:space="preserve">State synchronization</t>
  </si>
  <si>
    <t xml:space="preserve">Device publish state</t>
  </si>
  <si>
    <t xml:space="preserve">humidifier/state</t>
  </si>
  <si>
    <t xml:space="preserve">Ubah state dari device</t>
  </si>
  <si>
    <t xml:space="preserve">UI detail realtime mengikuti device tanpa feedback loop.</t>
  </si>
  <si>
    <t xml:space="preserve">AMB-001</t>
  </si>
  <si>
    <t xml:space="preserve">Ambient Light</t>
  </si>
  <si>
    <t xml:space="preserve">Power</t>
  </si>
  <si>
    <t xml:space="preserve">Hardware/MQTT</t>
  </si>
  <si>
    <t xml:space="preserve">Trainer kit connected</t>
  </si>
  <si>
    <t xml:space="preserve">ON/OFF</t>
  </si>
  <si>
    <t xml:space="preserve">Toggle power</t>
  </si>
  <si>
    <t xml:space="preserve">Lampu fisik dan UI state sesuai.</t>
  </si>
  <si>
    <t xml:space="preserve">AMB-002</t>
  </si>
  <si>
    <t xml:space="preserve">Animation presets</t>
  </si>
  <si>
    <t xml:space="preserve">Power ON</t>
  </si>
  <si>
    <t xml:space="preserve">Daftar preset</t>
  </si>
  <si>
    <t xml:space="preserve">Pilih setiap preset</t>
  </si>
  <si>
    <t xml:space="preserve">Animasi perangkat sesuai label dan tidak macet.</t>
  </si>
  <si>
    <t xml:space="preserve">AMB-003</t>
  </si>
  <si>
    <t xml:space="preserve">RGB control</t>
  </si>
  <si>
    <t xml:space="preserve">R/G/B min-mid-max</t>
  </si>
  <si>
    <t xml:space="preserve">Geser slider dan pilih swatch</t>
  </si>
  <si>
    <t xml:space="preserve">Warna fisik mendekati preview dan payload valid.</t>
  </si>
  <si>
    <t xml:space="preserve">AMB-004</t>
  </si>
  <si>
    <t xml:space="preserve">Intensity</t>
  </si>
  <si>
    <t xml:space="preserve">0–100%</t>
  </si>
  <si>
    <t xml:space="preserve">Geser intensitas</t>
  </si>
  <si>
    <t xml:space="preserve">Brightness mengikuti nilai tanpa flicker berbahaya.</t>
  </si>
  <si>
    <t xml:space="preserve">AMB-005</t>
  </si>
  <si>
    <t xml:space="preserve">MQTT failure</t>
  </si>
  <si>
    <t xml:space="preserve">Broker diputus</t>
  </si>
  <si>
    <t xml:space="preserve">Command ambient</t>
  </si>
  <si>
    <t xml:space="preserve">Kirim command saat offline lalu reconnect</t>
  </si>
  <si>
    <t xml:space="preserve">Snackbar gagal tampil; UI tidak mengaku sukses; fungsi pulih setelah reconnect.</t>
  </si>
  <si>
    <t xml:space="preserve">SET-001</t>
  </si>
  <si>
    <t xml:space="preserve">Settings</t>
  </si>
  <si>
    <t xml:space="preserve">Drowsiness/Pothole toggles</t>
  </si>
  <si>
    <t xml:space="preserve">Settings terbuka</t>
  </si>
  <si>
    <t xml:space="preserve">Toggle kedua fitur</t>
  </si>
  <si>
    <t xml:space="preserve">State global/API/provider mengikuti dan bertahan sesuai desain.</t>
  </si>
  <si>
    <t xml:space="preserve">SET-002</t>
  </si>
  <si>
    <t xml:space="preserve">Language Indonesian</t>
  </si>
  <si>
    <t xml:space="preserve">Localization</t>
  </si>
  <si>
    <t xml:space="preserve">Bahasa</t>
  </si>
  <si>
    <t xml:space="preserve">Pilih Bahasa dan buka seluruh menu utama</t>
  </si>
  <si>
    <t xml:space="preserve">String tersedia, layout tidak overflow, preference tersimpan.</t>
  </si>
  <si>
    <t xml:space="preserve">SET-003</t>
  </si>
  <si>
    <t xml:space="preserve">Language English</t>
  </si>
  <si>
    <t xml:space="preserve">English</t>
  </si>
  <si>
    <t xml:space="preserve">Pilih English dan buka seluruh menu utama</t>
  </si>
  <si>
    <t xml:space="preserve">String benar, layout tidak overflow, preference tersimpan.</t>
  </si>
  <si>
    <t xml:space="preserve">SET-004</t>
  </si>
  <si>
    <t xml:space="preserve">Theme contrast</t>
  </si>
  <si>
    <t xml:space="preserve">Accessibility/UI</t>
  </si>
  <si>
    <t xml:space="preserve">Semua theme tersedia</t>
  </si>
  <si>
    <t xml:space="preserve">Buka halaman utama tiap theme</t>
  </si>
  <si>
    <t xml:space="preserve">Kontras, fokus, ikon dan teks penting tetap terbaca terang/gelap.</t>
  </si>
  <si>
    <t xml:space="preserve">INFO-001</t>
  </si>
  <si>
    <t xml:space="preserve">Vehicle/Info</t>
  </si>
  <si>
    <t xml:space="preserve">Vehicle information</t>
  </si>
  <si>
    <t xml:space="preserve">Menu → Vehicle</t>
  </si>
  <si>
    <t xml:space="preserve">Fuel/battery/engine/status</t>
  </si>
  <si>
    <t xml:space="preserve">Buka page dan amati card</t>
  </si>
  <si>
    <t xml:space="preserve">Nilai/label sesuai source atau jelas sebagai demo; tidak ada data menyesatkan.</t>
  </si>
  <si>
    <t xml:space="preserve">INFO-002</t>
  </si>
  <si>
    <t xml:space="preserve">Drive information</t>
  </si>
  <si>
    <t xml:space="preserve">Menu → Drive Info</t>
  </si>
  <si>
    <t xml:space="preserve">Analytics/detection/connectivity/system</t>
  </si>
  <si>
    <t xml:space="preserve">Buka seluruh section</t>
  </si>
  <si>
    <t xml:space="preserve">Informasi tampil konsisten dan dapat dibaca.</t>
  </si>
  <si>
    <t xml:space="preserve">TUT-001</t>
  </si>
  <si>
    <t xml:space="preserve">Tutorial</t>
  </si>
  <si>
    <t xml:space="preserve">Guided help</t>
  </si>
  <si>
    <t xml:space="preserve">Low</t>
  </si>
  <si>
    <t xml:space="preserve">Usability</t>
  </si>
  <si>
    <t xml:space="preserve">Menu → mToyota</t>
  </si>
  <si>
    <t xml:space="preserve">Tutorial pages</t>
  </si>
  <si>
    <t xml:space="preserve">Navigasi tutorial sampai akhir dan kembali</t>
  </si>
  <si>
    <t xml:space="preserve">Konten tersedia, navigasi tidak buntu.</t>
  </si>
  <si>
    <t xml:space="preserve">NF-001</t>
  </si>
  <si>
    <t xml:space="preserve">Non-Functional</t>
  </si>
  <si>
    <t xml:space="preserve">UI responsiveness</t>
  </si>
  <si>
    <t xml:space="preserve">Release build di Jetson</t>
  </si>
  <si>
    <t xml:space="preserve">Normal workload</t>
  </si>
  <si>
    <t xml:space="preserve">Ukur input latency/tab transition/3D selama 30 menit</t>
  </si>
  <si>
    <t xml:space="preserve">Tidak ada freeze; target latency/FPS proyek tercapai dan dicatat.</t>
  </si>
  <si>
    <t xml:space="preserve">NF-002</t>
  </si>
  <si>
    <t xml:space="preserve">Memory endurance</t>
  </si>
  <si>
    <t xml:space="preserve">Performance/Reliability</t>
  </si>
  <si>
    <t xml:space="preserve">Monitoring tools aktif</t>
  </si>
  <si>
    <t xml:space="preserve">4 jam mixed use</t>
  </si>
  <si>
    <t xml:space="preserve">Jalankan musik, map, DMS, telemetry, projection bergantian</t>
  </si>
  <si>
    <t xml:space="preserve">RAM tidak tumbuh tanpa batas; tidak OOM/crash.</t>
  </si>
  <si>
    <t xml:space="preserve">NF-003</t>
  </si>
  <si>
    <t xml:space="preserve">Thermal endurance</t>
  </si>
  <si>
    <t xml:space="preserve">Hardware/Performance</t>
  </si>
  <si>
    <t xml:space="preserve">Jetson power profile produksi</t>
  </si>
  <si>
    <t xml:space="preserve">2 jam peak workload</t>
  </si>
  <si>
    <t xml:space="preserve">Log suhu/clocks/throttling</t>
  </si>
  <si>
    <t xml:space="preserve">Suhu dan throttling berada dalam limit yang disepakati.</t>
  </si>
  <si>
    <t xml:space="preserve">NF-004</t>
  </si>
  <si>
    <t xml:space="preserve">Backend restart</t>
  </si>
  <si>
    <t xml:space="preserve">Restart backend</t>
  </si>
  <si>
    <t xml:space="preserve">Stop/start backend ketika Home aktif</t>
  </si>
  <si>
    <t xml:space="preserve">HMI tidak crash; status pulih dan timer/request tidak berlipat.</t>
  </si>
  <si>
    <t xml:space="preserve">NF-005</t>
  </si>
  <si>
    <t xml:space="preserve">Network offline</t>
  </si>
  <si>
    <t xml:space="preserve">Fitur online aktif</t>
  </si>
  <si>
    <t xml:space="preserve">Wi-Fi off 5 menit</t>
  </si>
  <si>
    <t xml:space="preserve">Matikan lalu pulihkan network</t>
  </si>
  <si>
    <t xml:space="preserve">Fitur lokal tetap bekerja; online error jelas; reconnect otomatis.</t>
  </si>
  <si>
    <t xml:space="preserve">NF-006</t>
  </si>
  <si>
    <t xml:space="preserve">ESP32 reboot</t>
  </si>
  <si>
    <t xml:space="preserve">Telemetry aktif</t>
  </si>
  <si>
    <t xml:space="preserve">Reset board</t>
  </si>
  <si>
    <t xml:space="preserve">Reboot ESP32 10 kali</t>
  </si>
  <si>
    <t xml:space="preserve">Serial reconnect dan state normal kembali tanpa duplicate alert.</t>
  </si>
  <si>
    <t xml:space="preserve">NF-007</t>
  </si>
  <si>
    <t xml:space="preserve">Power loss</t>
  </si>
  <si>
    <t xml:space="preserve">Recovery/Data Integrity</t>
  </si>
  <si>
    <t xml:space="preserve">Data test nonproduksi</t>
  </si>
  <si>
    <t xml:space="preserve">Hard power interruption</t>
  </si>
  <si>
    <t xml:space="preserve">Putus power saat idle dan saat save preference</t>
  </si>
  <si>
    <t xml:space="preserve">Filesystem/profile tidak korup; aplikasi boot kembali aman.</t>
  </si>
  <si>
    <t xml:space="preserve">SEC-001</t>
  </si>
  <si>
    <t xml:space="preserve">Security/Privacy</t>
  </si>
  <si>
    <t xml:space="preserve">Face data access</t>
  </si>
  <si>
    <t xml:space="preserve">Privacy Review</t>
  </si>
  <si>
    <t xml:space="preserve">Akses Jetson</t>
  </si>
  <si>
    <t xml:space="preserve">Dataset/profile/model</t>
  </si>
  <si>
    <t xml:space="preserve">Review permission, lokasi, backup dan delete</t>
  </si>
  <si>
    <t xml:space="preserve">Akses dibatasi sesuai kebijakan; delete benar; retention/consent terdokumentasi.</t>
  </si>
  <si>
    <t xml:space="preserve">SEC-002</t>
  </si>
  <si>
    <t xml:space="preserve">Sensitive logging</t>
  </si>
  <si>
    <t xml:space="preserve">Release logs tersedia</t>
  </si>
  <si>
    <t xml:space="preserve">Nama/wajah/token/SSID</t>
  </si>
  <si>
    <t xml:space="preserve">Review log 30 menit dan file config</t>
  </si>
  <si>
    <t xml:space="preserve">Tidak ada secret/token/image wajah terekspos; data personal minimal dan beralasan.</t>
  </si>
  <si>
    <t xml:space="preserve">SEC-003</t>
  </si>
  <si>
    <t xml:space="preserve">Security</t>
  </si>
  <si>
    <t xml:space="preserve">Network input validation</t>
  </si>
  <si>
    <t xml:space="preserve">API/TCP/MQTT accessible</t>
  </si>
  <si>
    <t xml:space="preserve">Malformed/oversized/replay</t>
  </si>
  <si>
    <t xml:space="preserve">Fuzz input terbatas sesuai izin</t>
  </si>
  <si>
    <t xml:space="preserve">Tidak crash/command injection/path traversal; error dan rate behavior aman.</t>
  </si>
  <si>
    <t xml:space="preserve">NF-008</t>
  </si>
  <si>
    <t xml:space="preserve">Display scaling</t>
  </si>
  <si>
    <t xml:space="preserve">Compatibility/UI</t>
  </si>
  <si>
    <t xml:space="preserve">Target head unit</t>
  </si>
  <si>
    <t xml:space="preserve">Resolusi/scaling produksi</t>
  </si>
  <si>
    <t xml:space="preserve">Buka seluruh halaman pada display target</t>
  </si>
  <si>
    <t xml:space="preserve">Tidak overflow/crop; touch area sesuai visual; model 3D bounds benar.</t>
  </si>
  <si>
    <t xml:space="preserve">NF-009</t>
  </si>
  <si>
    <t xml:space="preserve">Touch accuracy</t>
  </si>
  <si>
    <t xml:space="preserve">Touchscreen terkalibrasi</t>
  </si>
  <si>
    <t xml:space="preserve">Grid target sudut/tengah</t>
  </si>
  <si>
    <t xml:space="preserve">Tekan target kecil/besar di seluruh area</t>
  </si>
  <si>
    <t xml:space="preserve">Aksi tepat, tidak offset/double trigger, target penting mudah dijangkau.</t>
  </si>
  <si>
    <t xml:space="preserve">END-TO-END USE CASES</t>
  </si>
  <si>
    <t xml:space="preserve">Gunakan untuk memvalidasi alur lintas modul, bukan hanya fungsi individual.</t>
  </si>
  <si>
    <t xml:space="preserve">ID</t>
  </si>
  <si>
    <t xml:space="preserve">Use Case</t>
  </si>
  <si>
    <t xml:space="preserve">Aktor</t>
  </si>
  <si>
    <t xml:space="preserve">Trigger</t>
  </si>
  <si>
    <t xml:space="preserve">Main Flow</t>
  </si>
  <si>
    <t xml:space="preserve">Alternative/Exception Flow</t>
  </si>
  <si>
    <t xml:space="preserve">Acceptance Criteria</t>
  </si>
  <si>
    <t xml:space="preserve">UC-01</t>
  </si>
  <si>
    <t xml:space="preserve">Cold boot sampai Home</t>
  </si>
  <si>
    <t xml:space="preserve">Driver</t>
  </si>
  <si>
    <t xml:space="preserve">Jetson mati</t>
  </si>
  <si>
    <t xml:space="preserve">Nyalakan unit</t>
  </si>
  <si>
    <t xml:space="preserve">Boot → setujui warning → ganjil/genap → dikenali/pilih driver → Home</t>
  </si>
  <si>
    <t xml:space="preserve">Backend offline: login Guest; kamera gagal: pilih manual</t>
  </si>
  <si>
    <t xml:space="preserve">Home siap tanpa crash dan driver session benar</t>
  </si>
  <si>
    <t xml:space="preserve">UC-02</t>
  </si>
  <si>
    <t xml:space="preserve">Daftar driver baru</t>
  </si>
  <si>
    <t xml:space="preserve">Driver baru</t>
  </si>
  <si>
    <t xml:space="preserve">Backend/kamera aktif</t>
  </si>
  <si>
    <t xml:space="preserve">Pilih Tambah Akun</t>
  </si>
  <si>
    <t xml:space="preserve">Isi nama → capture burst → ikuti guidance → atur profil → simpan</t>
  </si>
  <si>
    <t xml:space="preserve">Nama kosong/wajah buruk/backend gagal ditolak jelas</t>
  </si>
  <si>
    <t xml:space="preserve">Driver baru ada di daftar dan dapat dikenali</t>
  </si>
  <si>
    <t xml:space="preserve">UC-03</t>
  </si>
  <si>
    <t xml:space="preserve">Auto-login driver</t>
  </si>
  <si>
    <t xml:space="preserve">Driver terdaftar</t>
  </si>
  <si>
    <t xml:space="preserve">Driver ada di backend</t>
  </si>
  <si>
    <t xml:space="preserve">Wajah terlihat kamera</t>
  </si>
  <si>
    <t xml:space="preserve">Recognition → validasi daftar → set session → load preference → Home</t>
  </si>
  <si>
    <t xml:space="preserve">Unknown/stale identity tidak login</t>
  </si>
  <si>
    <t xml:space="preserve">Tidak salah identitas dan preferensi benar</t>
  </si>
  <si>
    <t xml:space="preserve">UC-04</t>
  </si>
  <si>
    <t xml:space="preserve">Guest mode</t>
  </si>
  <si>
    <t xml:space="preserve">Tamu</t>
  </si>
  <si>
    <t xml:space="preserve">Driver session mungkin ada</t>
  </si>
  <si>
    <t xml:space="preserve">Clear session → Home</t>
  </si>
  <si>
    <t xml:space="preserve">Backend offline tidak menghalangi</t>
  </si>
  <si>
    <t xml:space="preserve">Tidak ada profil driver lama yang bocor</t>
  </si>
  <si>
    <t xml:space="preserve">UC-05</t>
  </si>
  <si>
    <t xml:space="preserve">Monitoring kantuk</t>
  </si>
  <si>
    <t xml:space="preserve">Login driver; DMS ON</t>
  </si>
  <si>
    <t xml:space="preserve">Home terbuka</t>
  </si>
  <si>
    <t xml:space="preserve">Start monitoring → calibrate → poll status → alert drowsy → dismiss</t>
  </si>
  <si>
    <t xml:space="preserve">Mismatch/no face/camera error</t>
  </si>
  <si>
    <t xml:space="preserve">Alert benar, tidak spam, dapat dinonaktifkan</t>
  </si>
  <si>
    <t xml:space="preserve">UC-06</t>
  </si>
  <si>
    <t xml:space="preserve">Mood ke musik</t>
  </si>
  <si>
    <t xml:space="preserve">Mood stable; driver match</t>
  </si>
  <si>
    <t xml:space="preserve">Backend confirm happy/sad</t>
  </si>
  <si>
    <t xml:space="preserve">Dialog rekomendasi → user setuju → Music search keyword</t>
  </si>
  <si>
    <t xml:space="preserve">User menolak; mood belum stabil</t>
  </si>
  <si>
    <t xml:space="preserve">Kontrol tetap pada user dan lagu relevan dapat dipilih</t>
  </si>
  <si>
    <t xml:space="preserve">UC-07</t>
  </si>
  <si>
    <t xml:space="preserve">Navigasi dan pothole</t>
  </si>
  <si>
    <t xml:space="preserve">GPS/ESP32 connected</t>
  </si>
  <si>
    <t xml:space="preserve">Pilih tujuan</t>
  </si>
  <si>
    <t xml:space="preserve">Hitung route → navigasi → telemetry event → marker/alert → lanjut/reroute</t>
  </si>
  <si>
    <t xml:space="preserve">GPS loss, Wi-Fi loss, serial reconnect</t>
  </si>
  <si>
    <t xml:space="preserve">Rute dan warning pulih tanpa UI freeze</t>
  </si>
  <si>
    <t xml:space="preserve">UC-08</t>
  </si>
  <si>
    <t xml:space="preserve">Android Auto kabel</t>
  </si>
  <si>
    <t xml:space="preserve">Driver + ponsel Android</t>
  </si>
  <si>
    <t xml:space="preserve">Kabel data dan receiver siap</t>
  </si>
  <si>
    <t xml:space="preserve">Pilih Android Auto Kabel</t>
  </si>
  <si>
    <t xml:space="preserve">AOAP → TLS → channels → fullscreen → maps/music/touch/audio → disconnect</t>
  </si>
  <si>
    <t xml:space="preserve">Handshake timeout, simulator fallback</t>
  </si>
  <si>
    <t xml:space="preserve">Session stabil dan kembali MTP setelah disconnect</t>
  </si>
  <si>
    <t xml:space="preserve">UC-09</t>
  </si>
  <si>
    <t xml:space="preserve">Android Auto wireless</t>
  </si>
  <si>
    <t xml:space="preserve">BT/Wi-Fi aktif</t>
  </si>
  <si>
    <t xml:space="preserve">Pilih Android Auto Wireless</t>
  </si>
  <si>
    <t xml:space="preserve">Hotspot → BT WPP → Wi-Fi TCP → projection → disconnect → restore Wi-Fi</t>
  </si>
  <si>
    <t xml:space="preserve">Pairing ditolak/timeout</t>
  </si>
  <si>
    <t xml:space="preserve">Status jelas dan jaringan sebelumnya pulih</t>
  </si>
  <si>
    <t xml:space="preserve">UC-10</t>
  </si>
  <si>
    <t xml:space="preserve">Smart fragrance</t>
  </si>
  <si>
    <t xml:space="preserve">Broker dan actuator connected</t>
  </si>
  <si>
    <t xml:space="preserve">Buka Fragrance</t>
  </si>
  <si>
    <t xml:space="preserve">Pilih aroma → speed → auto/manual → state feedback → Off</t>
  </si>
  <si>
    <t xml:space="preserve">Broker/device offline; invalid command</t>
  </si>
  <si>
    <t xml:space="preserve">Output sesuai dan Off selalu fail-safe</t>
  </si>
  <si>
    <t xml:space="preserve">UC-11</t>
  </si>
  <si>
    <t xml:space="preserve">Ambient light</t>
  </si>
  <si>
    <t xml:space="preserve">Buka Ambient Light</t>
  </si>
  <si>
    <t xml:space="preserve">Power → preset/RGB/intensity → state</t>
  </si>
  <si>
    <t xml:space="preserve">MQTT offline/reconnect</t>
  </si>
  <si>
    <t xml:space="preserve">Lampu sesuai UI dan tidak mengunci HMI</t>
  </si>
  <si>
    <t xml:space="preserve">UC-12</t>
  </si>
  <si>
    <t xml:space="preserve">Profil personal</t>
  </si>
  <si>
    <t xml:space="preserve">Driver login</t>
  </si>
  <si>
    <t xml:space="preserve">Buka Personalize</t>
  </si>
  <si>
    <t xml:space="preserve">Ubah tema/preference/language → save → ganti driver → login kembali</t>
  </si>
  <si>
    <t xml:space="preserve">Cancel dan invalid background</t>
  </si>
  <si>
    <t xml:space="preserve">Persistensi terisolasi per driver</t>
  </si>
  <si>
    <t xml:space="preserve">UC-13</t>
  </si>
  <si>
    <t xml:space="preserve">Hapus akun</t>
  </si>
  <si>
    <t xml:space="preserve">Driver login dan wajah tersedia</t>
  </si>
  <si>
    <t xml:space="preserve">Pilih Delete Account</t>
  </si>
  <si>
    <t xml:space="preserve">Verifikasi → konfirmasi → delete backend/local → Driver Select</t>
  </si>
  <si>
    <t xml:space="preserve">Cancel atau wajah mismatch</t>
  </si>
  <si>
    <t xml:space="preserve">Hanya akun terverifikasi terhapus</t>
  </si>
  <si>
    <t xml:space="preserve">UC-14</t>
  </si>
  <si>
    <t xml:space="preserve">Remote RJ45</t>
  </si>
  <si>
    <t xml:space="preserve">Raspberry Pi/peer</t>
  </si>
  <si>
    <t xml:space="preserve">RJ45 configured</t>
  </si>
  <si>
    <t xml:space="preserve">Peer connect dan kirim NDJSON</t>
  </si>
  <si>
    <t xml:space="preserve">Parse → route handler → action → ACK</t>
  </si>
  <si>
    <t xml:space="preserve">Partial/invalid packet; cable reconnect</t>
  </si>
  <si>
    <t xml:space="preserve">Perintah berurutan dan koneksi recoverable</t>
  </si>
  <si>
    <t xml:space="preserve">UC-15</t>
  </si>
  <si>
    <t xml:space="preserve">Mixed-use endurance</t>
  </si>
  <si>
    <t xml:space="preserve">Customer/QA</t>
  </si>
  <si>
    <t xml:space="preserve">Semua device aktif</t>
  </si>
  <si>
    <t xml:space="preserve">Mulai 4 jam test</t>
  </si>
  <si>
    <t xml:space="preserve">Music + maps + DMS + ESP + 3D + connect/disconnect projection/device</t>
  </si>
  <si>
    <t xml:space="preserve">Backend/network/device restart</t>
  </si>
  <si>
    <t xml:space="preserve">Tidak crash/leak; performa, suhu, dan bukti tercatat</t>
  </si>
  <si>
    <t xml:space="preserve">DEFECT LOG DAN RETEST</t>
  </si>
  <si>
    <t xml:space="preserve">Satu defect dapat terkait lebih dari satu Test Case ID. Critical/High wajib selesai atau memiliki waiver tertulis sebelum release.</t>
  </si>
  <si>
    <t xml:space="preserve">Tanggal</t>
  </si>
  <si>
    <t xml:space="preserve">Ringkasan</t>
  </si>
  <si>
    <t xml:space="preserve">Langkah Reproduksi</t>
  </si>
  <si>
    <t xml:space="preserve">Expected</t>
  </si>
  <si>
    <t xml:space="preserve">Actual</t>
  </si>
  <si>
    <t xml:space="preserve">Severity</t>
  </si>
  <si>
    <t xml:space="preserve">Priority</t>
  </si>
  <si>
    <t xml:space="preserve">PIC</t>
  </si>
  <si>
    <t xml:space="preserve">Target Fix</t>
  </si>
  <si>
    <t xml:space="preserve">Retest Result/Evidence</t>
  </si>
  <si>
    <t xml:space="preserve">DEF-001</t>
  </si>
  <si>
    <t xml:space="preserve">Open</t>
  </si>
  <si>
    <t xml:space="preserve">DEF-002</t>
  </si>
  <si>
    <t xml:space="preserve">DEF-003</t>
  </si>
  <si>
    <t xml:space="preserve">DEF-004</t>
  </si>
  <si>
    <t xml:space="preserve">DEF-005</t>
  </si>
  <si>
    <t xml:space="preserve">DEF-006</t>
  </si>
  <si>
    <t xml:space="preserve">DEF-007</t>
  </si>
  <si>
    <t xml:space="preserve">DEF-008</t>
  </si>
  <si>
    <t xml:space="preserve">DEF-009</t>
  </si>
  <si>
    <t xml:space="preserve">DEF-010</t>
  </si>
  <si>
    <t xml:space="preserve">DEF-011</t>
  </si>
  <si>
    <t xml:space="preserve">DEF-012</t>
  </si>
  <si>
    <t xml:space="preserve">DEF-013</t>
  </si>
  <si>
    <t xml:space="preserve">DEF-014</t>
  </si>
  <si>
    <t xml:space="preserve">DEF-015</t>
  </si>
  <si>
    <t xml:space="preserve">DEF-016</t>
  </si>
  <si>
    <t xml:space="preserve">DEF-017</t>
  </si>
  <si>
    <t xml:space="preserve">DEF-018</t>
  </si>
  <si>
    <t xml:space="preserve">DEF-019</t>
  </si>
  <si>
    <t xml:space="preserve">DEF-020</t>
  </si>
  <si>
    <t xml:space="preserve">DEF-021</t>
  </si>
  <si>
    <t xml:space="preserve">DEF-022</t>
  </si>
  <si>
    <t xml:space="preserve">DEF-023</t>
  </si>
  <si>
    <t xml:space="preserve">DEF-024</t>
  </si>
  <si>
    <t xml:space="preserve">DEF-025</t>
  </si>
  <si>
    <t xml:space="preserve">DEF-026</t>
  </si>
  <si>
    <t xml:space="preserve">DEF-027</t>
  </si>
  <si>
    <t xml:space="preserve">DEF-028</t>
  </si>
  <si>
    <t xml:space="preserve">DEF-029</t>
  </si>
  <si>
    <t xml:space="preserve">DEF-030</t>
  </si>
  <si>
    <t xml:space="preserve">DEF-031</t>
  </si>
  <si>
    <t xml:space="preserve">DEF-032</t>
  </si>
  <si>
    <t xml:space="preserve">DEF-033</t>
  </si>
  <si>
    <t xml:space="preserve">DEF-034</t>
  </si>
  <si>
    <t xml:space="preserve">DEF-035</t>
  </si>
  <si>
    <t xml:space="preserve">DEF-036</t>
  </si>
  <si>
    <t xml:space="preserve">DEF-037</t>
  </si>
  <si>
    <t xml:space="preserve">DEF-038</t>
  </si>
  <si>
    <t xml:space="preserve">DEF-039</t>
  </si>
  <si>
    <t xml:space="preserve">DEF-040</t>
  </si>
  <si>
    <t xml:space="preserve">TEST ENVIRONMENT &amp; DEVICE MATRIX</t>
  </si>
  <si>
    <t xml:space="preserve">Catat versi dan identitas fisik agar hasil dapat direproduksi.</t>
  </si>
  <si>
    <t xml:space="preserve">Komponen</t>
  </si>
  <si>
    <t xml:space="preserve">Model/Identitas</t>
  </si>
  <si>
    <t xml:space="preserve">OS/Firmware</t>
  </si>
  <si>
    <t xml:space="preserve">Versi Software</t>
  </si>
  <si>
    <t xml:space="preserve">Koneksi/Port</t>
  </si>
  <si>
    <t xml:space="preserve">Konfigurasi Penting</t>
  </si>
  <si>
    <t xml:space="preserve">Status Kesiapan</t>
  </si>
  <si>
    <t xml:space="preserve">Bukti</t>
  </si>
  <si>
    <t xml:space="preserve">Catatan</t>
  </si>
  <si>
    <t xml:space="preserve">Jetson Orin Nano</t>
  </si>
  <si>
    <t xml:space="preserve">Belum Siap</t>
  </si>
  <si>
    <t xml:space="preserve">Head-unit display/touch</t>
  </si>
  <si>
    <t xml:space="preserve">Flutter SDK/build</t>
  </si>
  <si>
    <t xml:space="preserve">Backend Python</t>
  </si>
  <si>
    <t xml:space="preserve">Kamera DMS/Face ID</t>
  </si>
  <si>
    <t xml:space="preserve">ESP32 pothole</t>
  </si>
  <si>
    <t xml:space="preserve">BNO055/IMU</t>
  </si>
  <si>
    <t xml:space="preserve">GPS module</t>
  </si>
  <si>
    <t xml:space="preserve">ESP32 ambient light</t>
  </si>
  <si>
    <t xml:space="preserve">Smart fragrance controller</t>
  </si>
  <si>
    <t xml:space="preserve">Android phone 1</t>
  </si>
  <si>
    <t xml:space="preserve">Android phone 2</t>
  </si>
  <si>
    <t xml:space="preserve">iPhone</t>
  </si>
  <si>
    <t xml:space="preserve">USB cable</t>
  </si>
  <si>
    <t xml:space="preserve">USB storage/audio</t>
  </si>
  <si>
    <t xml:space="preserve">Bluetooth adapter</t>
  </si>
  <si>
    <t xml:space="preserve">Wi-Fi adapter</t>
  </si>
  <si>
    <t xml:space="preserve">RJ45 peer/Raspberry Pi</t>
  </si>
  <si>
    <t xml:space="preserve">MQTT broker</t>
  </si>
  <si>
    <t xml:space="preserve">Spotify account/device</t>
  </si>
  <si>
    <t xml:space="preserve">Audio sink/speaker</t>
  </si>
  <si>
    <t xml:space="preserve">RELEASE / CUSTOMER DEMO CHECKLIST</t>
  </si>
  <si>
    <t xml:space="preserve">Checklist ini melengkapi test case dan tidak menggantikan hasil manual perangkat nyata.</t>
  </si>
  <si>
    <t xml:space="preserve">Gate</t>
  </si>
  <si>
    <t xml:space="preserve">Perintah/Verifikasi</t>
  </si>
  <si>
    <t xml:space="preserve">Target</t>
  </si>
  <si>
    <t xml:space="preserve">Checklist</t>
  </si>
  <si>
    <t xml:space="preserve">Hasil Aktual</t>
  </si>
  <si>
    <t xml:space="preserve">Evidence</t>
  </si>
  <si>
    <t xml:space="preserve">Backend automated tests</t>
  </si>
  <si>
    <t xml:space="preserve">./scripts/test_backend_quality.sh</t>
  </si>
  <si>
    <t xml:space="preserve">100% pass; coverage critical ≥90%</t>
  </si>
  <si>
    <t xml:space="preserve">☐</t>
  </si>
  <si>
    <t xml:space="preserve">cd frontend &amp;&amp; flutter analyze --no-pub</t>
  </si>
  <si>
    <t xml:space="preserve">Flutter automated tests</t>
  </si>
  <si>
    <t xml:space="preserve">cd frontend &amp;&amp; flutter test --no-pub</t>
  </si>
  <si>
    <t xml:space="preserve">100% pass</t>
  </si>
  <si>
    <t xml:space="preserve">Android Auto TypeScript</t>
  </si>
  <si>
    <t xml:space="preserve">./scripts/build_android_auto_receiver.sh &amp;&amp; npm test</t>
  </si>
  <si>
    <t xml:space="preserve">Build/type-check/test pass</t>
  </si>
  <si>
    <t xml:space="preserve">ESP32 pothole quality</t>
  </si>
  <si>
    <t xml:space="preserve">./scripts/test_pothole_quality.sh</t>
  </si>
  <si>
    <t xml:space="preserve">Native test/coverage/build firmware pass</t>
  </si>
  <si>
    <t xml:space="preserve">Linux ARM64 release build</t>
  </si>
  <si>
    <t xml:space="preserve">cd frontend &amp;&amp; flutter build linux --release --no-pub</t>
  </si>
  <si>
    <t xml:space="preserve">Bundle berhasil</t>
  </si>
  <si>
    <t xml:space="preserve">Data produksi aman</t>
  </si>
  <si>
    <t xml:space="preserve">Bandingkan backend/dataset/profile sebelum-sesudah test otomatis</t>
  </si>
  <si>
    <t xml:space="preserve">Tidak berubah</t>
  </si>
  <si>
    <t xml:space="preserve">Manual Face ID</t>
  </si>
  <si>
    <t xml:space="preserve">FACE-007/008/015/016</t>
  </si>
  <si>
    <t xml:space="preserve">Target FAR/FRR disetujui</t>
  </si>
  <si>
    <t xml:space="preserve">Manual DMS/Mood</t>
  </si>
  <si>
    <t xml:space="preserve">DMS-004/005/011 dan MOOD-003</t>
  </si>
  <si>
    <t xml:space="preserve">Akurasi/false alarm target</t>
  </si>
  <si>
    <t xml:space="preserve">Manual ESP32/GPS/Pothole</t>
  </si>
  <si>
    <t xml:space="preserve">GPS-004/005, POT-005/009, MAP-005</t>
  </si>
  <si>
    <t xml:space="preserve">Seluruh hardware scenario pass</t>
  </si>
  <si>
    <t xml:space="preserve">Manual projection</t>
  </si>
  <si>
    <t xml:space="preserve">AA-001..007, AAW-001..003, CP-002</t>
  </si>
  <si>
    <t xml:space="preserve">Device in-scope pass/gap approved</t>
  </si>
  <si>
    <t xml:space="preserve">Manual fragrance/ambient</t>
  </si>
  <si>
    <t xml:space="preserve">FRAG-001..008, AMB-001..005</t>
  </si>
  <si>
    <t xml:space="preserve">Output fisik/fail-safe pass</t>
  </si>
  <si>
    <t xml:space="preserve">Performance/endurance</t>
  </si>
  <si>
    <t xml:space="preserve">NF-001..009 dan PROJ-003</t>
  </si>
  <si>
    <t xml:space="preserve">Target FPS/latency/RAM/suhu pass</t>
  </si>
  <si>
    <t xml:space="preserve">Security/privacy review</t>
  </si>
  <si>
    <t xml:space="preserve">SEC-001..003</t>
  </si>
  <si>
    <t xml:space="preserve">Risiko diterima/ditutup</t>
  </si>
  <si>
    <t xml:space="preserve">Defect gate</t>
  </si>
  <si>
    <t xml:space="preserve">Review Defect Log</t>
  </si>
  <si>
    <t xml:space="preserve">0 Critical/High open</t>
  </si>
  <si>
    <t xml:space="preserve">Customer sign-off</t>
  </si>
  <si>
    <t xml:space="preserve">Workbook Customer Acceptance</t>
  </si>
  <si>
    <t xml:space="preserve">Ditandatangani pihak terkait</t>
  </si>
  <si>
    <t xml:space="preserve">REFERENSI STATUS, PRIORITAS, DAN DEFINISI</t>
  </si>
  <si>
    <t xml:space="preserve">Status Test</t>
  </si>
  <si>
    <t xml:space="preserve">Status Defect</t>
  </si>
  <si>
    <t xml:space="preserve">Kesiapan</t>
  </si>
  <si>
    <t xml:space="preserve">Definisi</t>
  </si>
  <si>
    <t xml:space="preserve">Aturan</t>
  </si>
  <si>
    <t xml:space="preserve">Belum dilakukan</t>
  </si>
  <si>
    <t xml:space="preserve">Critical/High gagal atau blocked menghalangi release</t>
  </si>
  <si>
    <t xml:space="preserve">In Progress</t>
  </si>
  <si>
    <t xml:space="preserve">Siap</t>
  </si>
  <si>
    <t xml:space="preserve">Expected = Actual</t>
  </si>
  <si>
    <t xml:space="preserve">Lulus wajib punya evidence untuk hardware/AI/performance</t>
  </si>
  <si>
    <t xml:space="preserve">Ready for Retest</t>
  </si>
  <si>
    <t xml:space="preserve">Siap dengan Catatan</t>
  </si>
  <si>
    <t xml:space="preserve">Expected tidak terpenuhi</t>
  </si>
  <si>
    <t xml:space="preserve">Isi Actual Result dan Defect ID</t>
  </si>
  <si>
    <t xml:space="preserve">Retest</t>
  </si>
  <si>
    <t xml:space="preserve">Tidak dapat diuji karena blocker</t>
  </si>
  <si>
    <t xml:space="preserve">Catat blocker, owner, dan target</t>
  </si>
  <si>
    <t xml:space="preserve">Closed</t>
  </si>
  <si>
    <t xml:space="preserve">Di luar scope</t>
  </si>
  <si>
    <t xml:space="preserve">N/A wajib memiliki alasan/waiver</t>
  </si>
  <si>
    <t xml:space="preserve">Deferred</t>
  </si>
  <si>
    <t xml:space="preserve">Ditunda dengan persetujuan</t>
  </si>
  <si>
    <t xml:space="preserve">Tidak boleh menyembunyikan defect Critical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</si>
</sst>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ptos"/>
      <family val="2"/>
    </font>
    <font>
      <sz val="10"/>
      <color rgb="FF17365D"/>
      <name val="Aptos"/>
      <family val="2"/>
    </font>
    <font>
      <b val="true"/>
      <sz val="11"/>
      <color rgb="FFFFFFFF"/>
      <name val="Aptos"/>
      <family val="2"/>
    </font>
    <font>
      <b val="true"/>
      <sz val="10"/>
      <name val="Aptos"/>
      <family val="2"/>
    </font>
    <font>
      <sz val="10"/>
      <name val="Aptos"/>
      <family val="2"/>
    </font>
    <font>
      <b val="true"/>
      <sz val="9"/>
      <color rgb="FFFFFFFF"/>
      <name val="Aptos"/>
      <family val="2"/>
    </font>
    <font>
      <sz val="9"/>
      <color rgb="FF1F1F1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F5F7F9"/>
      </patternFill>
    </fill>
    <fill>
      <patternFill patternType="solid">
        <fgColor rgb="FF0F6B78"/>
        <bgColor rgb="FF008080"/>
      </patternFill>
    </fill>
    <fill>
      <patternFill patternType="solid">
        <fgColor rgb="FFFFF2CC"/>
        <bgColor rgb="FFF5F7F9"/>
      </patternFill>
    </fill>
    <fill>
      <patternFill patternType="solid">
        <fgColor rgb="FF2F75B5"/>
        <bgColor rgb="FF0F6B78"/>
      </patternFill>
    </fill>
    <fill>
      <patternFill patternType="solid">
        <fgColor rgb="FFF5F7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7C9D6"/>
      </left>
      <right style="hair">
        <color rgb="FFB7C9D6"/>
      </right>
      <top style="hair">
        <color rgb="FFB7C9D6"/>
      </top>
      <bottom style="hair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75B5"/>
        </patternFill>
      </fill>
    </dxf>
    <dxf>
      <fill>
        <patternFill patternType="solid">
          <fgColor rgb="FFF5F7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F1F1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9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fectTable" displayName="DefectTable" ref="A4:O44" headerRowCount="1" totalsRowCount="0" totalsRowShown="0">
  <autoFilter ref="A4:O44"/>
  <tableColumns count="15">
    <tableColumn id="1" name="No."/>
    <tableColumn id="2" name="Defect ID"/>
    <tableColumn id="3" name="Test Case ID"/>
    <tableColumn id="4" name="Tanggal"/>
    <tableColumn id="5" name="Modul"/>
    <tableColumn id="6" name="Ringkasan"/>
    <tableColumn id="7" name="Langkah Reproduksi"/>
    <tableColumn id="8" name="Expected"/>
    <tableColumn id="9" name="Actual"/>
    <tableColumn id="10" name="Severity"/>
    <tableColumn id="11" name="Priority"/>
    <tableColumn id="12" name="PIC"/>
    <tableColumn id="13" name="Status"/>
    <tableColumn id="14" name="Target Fix"/>
    <tableColumn id="15" name="Retest Result/Evidence"/>
  </tableColumns>
</table>
</file>

<file path=xl/tables/table2.xml><?xml version="1.0" encoding="utf-8"?>
<table xmlns="http://schemas.openxmlformats.org/spreadsheetml/2006/main" id="2" name="EnvironmentTable" displayName="EnvironmentTable" ref="A4:J25" headerRowCount="1" totalsRowCount="0" totalsRowShown="0">
  <autoFilter ref="A4:J25"/>
  <tableColumns count="10">
    <tableColumn id="1" name="No."/>
    <tableColumn id="2" name="Komponen"/>
    <tableColumn id="3" name="Model/Identitas"/>
    <tableColumn id="4" name="OS/Firmware"/>
    <tableColumn id="5" name="Versi Software"/>
    <tableColumn id="6" name="Koneksi/Port"/>
    <tableColumn id="7" name="Konfigurasi Penting"/>
    <tableColumn id="8" name="Status Kesiapan"/>
    <tableColumn id="9" name="Bukti"/>
    <tableColumn id="10" name="Catatan"/>
  </tableColumns>
</table>
</file>

<file path=xl/tables/table3.xml><?xml version="1.0" encoding="utf-8"?>
<table xmlns="http://schemas.openxmlformats.org/spreadsheetml/2006/main" id="3" name="MasterCasesTable" displayName="MasterCasesTable" ref="A4:R149" headerRowCount="1" totalsRowCount="0" totalsRowShown="0">
  <autoFilter ref="A4:R149"/>
  <tableColumns count="18">
    <tableColumn id="1" name="No."/>
    <tableColumn id="2" name="Test Case ID"/>
    <tableColumn id="3" name="Modul"/>
    <tableColumn id="4" name="Submodul"/>
    <tableColumn id="5" name="Prioritas"/>
    <tableColumn id="6" name="Jenis Test"/>
    <tableColumn id="7" name="Metode"/>
    <tableColumn id="8" name="Precondition"/>
    <tableColumn id="9" name="Test Data/Kondisi"/>
    <tableColumn id="10" name="Langkah Pengujian"/>
    <tableColumn id="11" name="Hasil yang Diharapkan"/>
    <tableColumn id="12" name="Checklist Persiapan"/>
    <tableColumn id="13" name="Status"/>
    <tableColumn id="14" name="Actual Result"/>
    <tableColumn id="15" name="Evidence/Log/Foto"/>
    <tableColumn id="16" name="Defect ID"/>
    <tableColumn id="17" name="Tester"/>
    <tableColumn id="18" name="Tanggal Test"/>
  </tableColumns>
</table>
</file>

<file path=xl/tables/table4.xml><?xml version="1.0" encoding="utf-8"?>
<table xmlns="http://schemas.openxmlformats.org/spreadsheetml/2006/main" id="4" name="UseCaseTable" displayName="UseCaseTable" ref="A4:I19" headerRowCount="1" totalsRowCount="0" totalsRowShown="0">
  <autoFilter ref="A4:I19"/>
  <tableColumns count="9">
    <tableColumn id="1" name="ID"/>
    <tableColumn id="2" name="Use Case"/>
    <tableColumn id="3" name="Aktor"/>
    <tableColumn id="4" name="Precondition"/>
    <tableColumn id="5" name="Trigger"/>
    <tableColumn id="6" name="Main Flow"/>
    <tableColumn id="7" name="Alternative/Exception Flow"/>
    <tableColumn id="8" name="Acceptance Criteria"/>
    <tableColumn id="9" name="Status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18.37"/>
    <col collapsed="false" customWidth="true" hidden="false" outlineLevel="0" max="10" min="3" style="0" width="11.22"/>
  </cols>
  <sheetData>
    <row r="1" customFormat="false" ht="2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0.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1.75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/>
      <c r="G4" s="3"/>
      <c r="H4" s="3"/>
      <c r="I4" s="3"/>
      <c r="J4" s="3"/>
    </row>
    <row r="5" customFormat="false" ht="23.8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  <c r="J5" s="5"/>
    </row>
    <row r="6" customFormat="false" ht="35.05" hidden="false" customHeight="false" outlineLevel="0" collapsed="false">
      <c r="A6" s="4" t="s">
        <v>6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23.85" hidden="false" customHeight="false" outlineLevel="0" collapsed="false">
      <c r="A7" s="4" t="s">
        <v>7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23.85" hidden="false" customHeight="false" outlineLevel="0" collapsed="false">
      <c r="A8" s="4" t="s">
        <v>8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12.8" hidden="false" customHeight="false" outlineLevel="0" collapsed="false">
      <c r="A9" s="4" t="s">
        <v>9</v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23.85" hidden="false" customHeight="false" outlineLevel="0" collapsed="false">
      <c r="A10" s="4" t="s">
        <v>10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23.85" hidden="false" customHeight="true" outlineLevel="0" collapsed="false">
      <c r="A11" s="4" t="s">
        <v>11</v>
      </c>
      <c r="B11" s="5" t="s">
        <v>12</v>
      </c>
      <c r="C11" s="5"/>
      <c r="D11" s="5"/>
      <c r="E11" s="5"/>
      <c r="F11" s="5"/>
      <c r="G11" s="5"/>
      <c r="H11" s="5"/>
      <c r="I11" s="5"/>
      <c r="J11" s="5"/>
    </row>
    <row r="12" customFormat="false" ht="12.8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customFormat="false" ht="41.75" hidden="false" customHeight="true" outlineLevel="0" collapsed="false">
      <c r="A13" s="3" t="s">
        <v>13</v>
      </c>
      <c r="B13" s="3" t="s">
        <v>14</v>
      </c>
      <c r="C13" s="3"/>
      <c r="D13" s="3"/>
      <c r="E13" s="3"/>
      <c r="F13" s="3"/>
      <c r="G13" s="3"/>
      <c r="H13" s="3"/>
      <c r="I13" s="3"/>
      <c r="J13" s="3"/>
    </row>
    <row r="14" customFormat="false" ht="23.85" hidden="false" customHeight="false" outlineLevel="0" collapsed="false">
      <c r="A14" s="4" t="s">
        <v>15</v>
      </c>
      <c r="B14" s="5" t="n">
        <f aca="false">COUNTA('Master Test Cases'!B5:B149)</f>
        <v>145</v>
      </c>
      <c r="C14" s="5"/>
      <c r="D14" s="5"/>
      <c r="E14" s="5"/>
      <c r="F14" s="5"/>
      <c r="G14" s="5"/>
      <c r="H14" s="5"/>
      <c r="I14" s="5"/>
      <c r="J14" s="5"/>
    </row>
    <row r="15" customFormat="false" ht="12.8" hidden="false" customHeight="false" outlineLevel="0" collapsed="false">
      <c r="A15" s="4" t="s">
        <v>16</v>
      </c>
      <c r="B15" s="5" t="n">
        <f aca="false">COUNTIF('Master Test Cases'!M5:M149,"Lulus")</f>
        <v>0</v>
      </c>
      <c r="C15" s="5"/>
      <c r="D15" s="5"/>
      <c r="E15" s="5"/>
      <c r="F15" s="5"/>
      <c r="G15" s="5"/>
      <c r="H15" s="5"/>
      <c r="I15" s="5"/>
      <c r="J15" s="5"/>
    </row>
    <row r="16" customFormat="false" ht="12.8" hidden="false" customHeight="false" outlineLevel="0" collapsed="false">
      <c r="A16" s="4" t="s">
        <v>17</v>
      </c>
      <c r="B16" s="5" t="n">
        <f aca="false">COUNTIF('Master Test Cases'!M5:M149,"Gagal")</f>
        <v>0</v>
      </c>
      <c r="C16" s="5"/>
      <c r="D16" s="5"/>
      <c r="E16" s="5"/>
      <c r="F16" s="5"/>
      <c r="G16" s="5"/>
      <c r="H16" s="5"/>
      <c r="I16" s="5"/>
      <c r="J16" s="5"/>
    </row>
    <row r="17" customFormat="false" ht="12.8" hidden="false" customHeight="false" outlineLevel="0" collapsed="false">
      <c r="A17" s="4" t="s">
        <v>18</v>
      </c>
      <c r="B17" s="5" t="n">
        <f aca="false">COUNTIF('Master Test Cases'!M5:M149,"Blocked")</f>
        <v>0</v>
      </c>
      <c r="C17" s="5"/>
      <c r="D17" s="5"/>
      <c r="E17" s="5"/>
      <c r="F17" s="5"/>
      <c r="G17" s="5"/>
      <c r="H17" s="5"/>
      <c r="I17" s="5"/>
      <c r="J17" s="5"/>
    </row>
    <row r="18" customFormat="false" ht="23.85" hidden="false" customHeight="false" outlineLevel="0" collapsed="false">
      <c r="A18" s="4" t="s">
        <v>19</v>
      </c>
      <c r="B18" s="5" t="n">
        <f aca="false">COUNTIF('Master Test Cases'!M5:M149,"Belum Diuji")</f>
        <v>145</v>
      </c>
      <c r="C18" s="5"/>
      <c r="D18" s="5"/>
      <c r="E18" s="5"/>
      <c r="F18" s="5"/>
      <c r="G18" s="5"/>
      <c r="H18" s="5"/>
      <c r="I18" s="5"/>
      <c r="J18" s="5"/>
    </row>
    <row r="19" customFormat="false" ht="12.8" hidden="false" customHeight="false" outlineLevel="0" collapsed="false">
      <c r="A19" s="4" t="s">
        <v>20</v>
      </c>
      <c r="B19" s="5" t="n">
        <f aca="false">COUNTIF('Master Test Cases'!M5:M149,"N/A")</f>
        <v>0</v>
      </c>
      <c r="C19" s="5"/>
      <c r="D19" s="5"/>
      <c r="E19" s="5"/>
      <c r="F19" s="5"/>
      <c r="G19" s="5"/>
      <c r="H19" s="5"/>
      <c r="I19" s="5"/>
      <c r="J19" s="5"/>
    </row>
    <row r="20" customFormat="false" ht="35.05" hidden="false" customHeight="false" outlineLevel="0" collapsed="false">
      <c r="A20" s="4" t="s">
        <v>21</v>
      </c>
      <c r="B20" s="5" t="n">
        <f aca="false">IFERROR(B15/(B14-B19),0)</f>
        <v>0</v>
      </c>
      <c r="C20" s="5"/>
      <c r="D20" s="5"/>
      <c r="E20" s="5"/>
      <c r="F20" s="5"/>
      <c r="G20" s="5"/>
      <c r="H20" s="5"/>
      <c r="I20" s="5"/>
      <c r="J20" s="5"/>
    </row>
    <row r="21" customFormat="false" ht="46.25" hidden="false" customHeight="false" outlineLevel="0" collapsed="false">
      <c r="A21" s="4" t="s">
        <v>22</v>
      </c>
      <c r="B21" s="5" t="n">
        <f aca="false">COUNTIFS('Master Test Cases'!E5:E149,"Critical",'Master Test Cases'!M5:M149,"Gagal")+COUNTIFS('Master Test Cases'!E5:E149,"High",'Master Test Cases'!M5:M149,"Gagal")+COUNTIFS('Master Test Cases'!E5:E149,"Critical",'Master Test Cases'!M5:M149,"Blocked")+COUNTIFS('Master Test Cases'!E5:E149,"High",'Master Test Cases'!M5:M149,"Blocked")</f>
        <v>0</v>
      </c>
      <c r="C21" s="5"/>
      <c r="D21" s="5"/>
      <c r="E21" s="5"/>
      <c r="F21" s="5"/>
      <c r="G21" s="5"/>
      <c r="H21" s="5"/>
      <c r="I21" s="5"/>
      <c r="J21" s="5"/>
    </row>
    <row r="22" customFormat="false" ht="12.8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customFormat="false" ht="41.75" hidden="false" customHeight="true" outlineLevel="0" collapsed="false">
      <c r="A23" s="3" t="s">
        <v>23</v>
      </c>
      <c r="B23" s="3" t="s">
        <v>24</v>
      </c>
      <c r="C23" s="3"/>
      <c r="D23" s="3"/>
      <c r="E23" s="3"/>
      <c r="F23" s="3"/>
      <c r="G23" s="3"/>
      <c r="H23" s="3"/>
      <c r="I23" s="3"/>
      <c r="J23" s="3"/>
    </row>
    <row r="24" customFormat="false" ht="23.85" hidden="false" customHeight="true" outlineLevel="0" collapsed="false">
      <c r="A24" s="6" t="s">
        <v>25</v>
      </c>
      <c r="B24" s="5" t="s">
        <v>26</v>
      </c>
      <c r="C24" s="5"/>
      <c r="D24" s="5"/>
      <c r="E24" s="5"/>
      <c r="F24" s="5"/>
      <c r="G24" s="5"/>
      <c r="H24" s="5"/>
      <c r="I24" s="5"/>
      <c r="J24" s="5"/>
    </row>
    <row r="25" customFormat="false" ht="23.85" hidden="false" customHeight="true" outlineLevel="0" collapsed="false">
      <c r="A25" s="6" t="s">
        <v>27</v>
      </c>
      <c r="B25" s="5" t="s">
        <v>28</v>
      </c>
      <c r="C25" s="5"/>
      <c r="D25" s="5"/>
      <c r="E25" s="5"/>
      <c r="F25" s="5"/>
      <c r="G25" s="5"/>
      <c r="H25" s="5"/>
      <c r="I25" s="5"/>
      <c r="J25" s="5"/>
    </row>
    <row r="26" customFormat="false" ht="46.25" hidden="false" customHeight="true" outlineLevel="0" collapsed="false">
      <c r="A26" s="6" t="s">
        <v>29</v>
      </c>
      <c r="B26" s="5" t="s">
        <v>30</v>
      </c>
      <c r="C26" s="5"/>
      <c r="D26" s="5"/>
      <c r="E26" s="5"/>
      <c r="F26" s="5"/>
      <c r="G26" s="5"/>
      <c r="H26" s="5"/>
      <c r="I26" s="5"/>
      <c r="J26" s="5"/>
    </row>
    <row r="27" customFormat="false" ht="35.05" hidden="false" customHeight="true" outlineLevel="0" collapsed="false">
      <c r="A27" s="6" t="s">
        <v>31</v>
      </c>
      <c r="B27" s="5" t="s">
        <v>32</v>
      </c>
      <c r="C27" s="5"/>
      <c r="D27" s="5"/>
      <c r="E27" s="5"/>
      <c r="F27" s="5"/>
      <c r="G27" s="5"/>
      <c r="H27" s="5"/>
      <c r="I27" s="5"/>
      <c r="J27" s="5"/>
    </row>
    <row r="28" customFormat="false" ht="46.25" hidden="false" customHeight="true" outlineLevel="0" collapsed="false">
      <c r="A28" s="6" t="s">
        <v>33</v>
      </c>
      <c r="B28" s="5" t="s">
        <v>32</v>
      </c>
      <c r="C28" s="5"/>
      <c r="D28" s="5"/>
      <c r="E28" s="5"/>
      <c r="F28" s="5"/>
      <c r="G28" s="5"/>
      <c r="H28" s="5"/>
      <c r="I28" s="5"/>
      <c r="J28" s="5"/>
    </row>
    <row r="29" customFormat="false" ht="46.25" hidden="false" customHeight="true" outlineLevel="0" collapsed="false">
      <c r="A29" s="6" t="s">
        <v>34</v>
      </c>
      <c r="B29" s="7" t="s">
        <v>35</v>
      </c>
      <c r="C29" s="7"/>
      <c r="D29" s="7"/>
      <c r="E29" s="7"/>
      <c r="F29" s="7"/>
      <c r="G29" s="7"/>
      <c r="H29" s="7"/>
      <c r="I29" s="7"/>
      <c r="J29" s="7"/>
    </row>
    <row r="30" customFormat="false" ht="35.05" hidden="false" customHeight="true" outlineLevel="0" collapsed="false">
      <c r="A30" s="6" t="s">
        <v>36</v>
      </c>
      <c r="B30" s="5" t="s">
        <v>37</v>
      </c>
      <c r="C30" s="5"/>
      <c r="D30" s="5"/>
      <c r="E30" s="5"/>
      <c r="F30" s="5"/>
      <c r="G30" s="5"/>
      <c r="H30" s="5"/>
      <c r="I30" s="5"/>
      <c r="J30" s="5"/>
    </row>
  </sheetData>
  <mergeCells count="29">
    <mergeCell ref="A1:J1"/>
    <mergeCell ref="A2:J2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59"/>
    <col collapsed="false" customWidth="true" hidden="false" outlineLevel="0" max="2" min="2" style="0" width="9.18"/>
    <col collapsed="false" customWidth="true" hidden="false" outlineLevel="0" max="3" min="3" style="0" width="12.25"/>
    <col collapsed="false" customWidth="true" hidden="false" outlineLevel="0" max="4" min="4" style="0" width="13.78"/>
    <col collapsed="false" customWidth="true" hidden="false" outlineLevel="0" max="5" min="5" style="0" width="9.18"/>
    <col collapsed="false" customWidth="true" hidden="false" outlineLevel="0" max="6" min="6" style="0" width="12.75"/>
    <col collapsed="false" customWidth="true" hidden="false" outlineLevel="0" max="7" min="7" style="0" width="9.18"/>
    <col collapsed="false" customWidth="true" hidden="false" outlineLevel="0" max="8" min="8" style="0" width="20.91"/>
    <col collapsed="false" customWidth="true" hidden="false" outlineLevel="0" max="9" min="9" style="0" width="18.88"/>
    <col collapsed="false" customWidth="true" hidden="false" outlineLevel="0" max="10" min="10" style="0" width="31.63"/>
    <col collapsed="false" customWidth="true" hidden="false" outlineLevel="0" max="11" min="11" style="0" width="30.62"/>
    <col collapsed="false" customWidth="true" hidden="false" outlineLevel="0" max="12" min="12" style="0" width="17.86"/>
    <col collapsed="false" customWidth="true" hidden="false" outlineLevel="0" max="13" min="13" style="0" width="11.73"/>
    <col collapsed="false" customWidth="true" hidden="false" outlineLevel="0" max="14" min="14" style="0" width="26.02"/>
    <col collapsed="false" customWidth="true" hidden="false" outlineLevel="0" max="15" min="15" style="0" width="18.37"/>
    <col collapsed="false" customWidth="true" hidden="false" outlineLevel="0" max="16" min="16" style="0" width="9.69"/>
    <col collapsed="false" customWidth="true" hidden="false" outlineLevel="0" max="17" min="17" style="0" width="11.22"/>
    <col collapsed="false" customWidth="true" hidden="false" outlineLevel="0" max="18" min="18" style="0" width="11.73"/>
  </cols>
  <sheetData>
    <row r="1" customFormat="false" ht="29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0.4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9.75" hidden="false" customHeight="tru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  <c r="K4" s="8" t="s">
        <v>50</v>
      </c>
      <c r="L4" s="8" t="s">
        <v>51</v>
      </c>
      <c r="M4" s="8" t="s">
        <v>52</v>
      </c>
      <c r="N4" s="8" t="s">
        <v>53</v>
      </c>
      <c r="O4" s="8" t="s">
        <v>54</v>
      </c>
      <c r="P4" s="8" t="s">
        <v>55</v>
      </c>
      <c r="Q4" s="8" t="s">
        <v>56</v>
      </c>
      <c r="R4" s="8" t="s">
        <v>57</v>
      </c>
    </row>
    <row r="5" customFormat="false" ht="64.15" hidden="false" customHeight="false" outlineLevel="0" collapsed="false">
      <c r="A5" s="9" t="n">
        <v>1</v>
      </c>
      <c r="B5" s="9" t="s">
        <v>58</v>
      </c>
      <c r="C5" s="9" t="s">
        <v>59</v>
      </c>
      <c r="D5" s="9" t="s">
        <v>60</v>
      </c>
      <c r="E5" s="9" t="s">
        <v>61</v>
      </c>
      <c r="F5" s="9" t="s">
        <v>62</v>
      </c>
      <c r="G5" s="9" t="s">
        <v>63</v>
      </c>
      <c r="H5" s="9" t="s">
        <v>64</v>
      </c>
      <c r="I5" s="9" t="s">
        <v>65</v>
      </c>
      <c r="J5" s="9" t="s">
        <v>66</v>
      </c>
      <c r="K5" s="9" t="s">
        <v>67</v>
      </c>
      <c r="L5" s="9" t="s">
        <v>68</v>
      </c>
      <c r="M5" s="9" t="s">
        <v>19</v>
      </c>
      <c r="N5" s="9"/>
      <c r="O5" s="9"/>
      <c r="P5" s="9"/>
      <c r="Q5" s="9"/>
      <c r="R5" s="9"/>
    </row>
    <row r="6" customFormat="false" ht="64.15" hidden="false" customHeight="false" outlineLevel="0" collapsed="false">
      <c r="A6" s="10" t="n">
        <v>2</v>
      </c>
      <c r="B6" s="10" t="s">
        <v>69</v>
      </c>
      <c r="C6" s="10" t="s">
        <v>59</v>
      </c>
      <c r="D6" s="10" t="s">
        <v>70</v>
      </c>
      <c r="E6" s="10" t="s">
        <v>71</v>
      </c>
      <c r="F6" s="10" t="s">
        <v>62</v>
      </c>
      <c r="G6" s="10" t="s">
        <v>63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68</v>
      </c>
      <c r="M6" s="10" t="s">
        <v>19</v>
      </c>
      <c r="N6" s="10"/>
      <c r="O6" s="10"/>
      <c r="P6" s="10"/>
      <c r="Q6" s="10"/>
      <c r="R6" s="10"/>
    </row>
    <row r="7" customFormat="false" ht="64.15" hidden="false" customHeight="false" outlineLevel="0" collapsed="false">
      <c r="A7" s="9" t="n">
        <v>3</v>
      </c>
      <c r="B7" s="9" t="s">
        <v>76</v>
      </c>
      <c r="C7" s="9" t="s">
        <v>59</v>
      </c>
      <c r="D7" s="9" t="s">
        <v>77</v>
      </c>
      <c r="E7" s="9" t="s">
        <v>78</v>
      </c>
      <c r="F7" s="9" t="s">
        <v>62</v>
      </c>
      <c r="G7" s="9" t="s">
        <v>63</v>
      </c>
      <c r="H7" s="9" t="s">
        <v>79</v>
      </c>
      <c r="I7" s="9" t="s">
        <v>80</v>
      </c>
      <c r="J7" s="9" t="s">
        <v>81</v>
      </c>
      <c r="K7" s="9" t="s">
        <v>82</v>
      </c>
      <c r="L7" s="9" t="s">
        <v>68</v>
      </c>
      <c r="M7" s="9" t="s">
        <v>19</v>
      </c>
      <c r="N7" s="9"/>
      <c r="O7" s="9"/>
      <c r="P7" s="9"/>
      <c r="Q7" s="9"/>
      <c r="R7" s="9"/>
    </row>
    <row r="8" customFormat="false" ht="64.15" hidden="false" customHeight="false" outlineLevel="0" collapsed="false">
      <c r="A8" s="10" t="n">
        <v>4</v>
      </c>
      <c r="B8" s="10" t="s">
        <v>83</v>
      </c>
      <c r="C8" s="10" t="s">
        <v>59</v>
      </c>
      <c r="D8" s="10" t="s">
        <v>84</v>
      </c>
      <c r="E8" s="10" t="s">
        <v>71</v>
      </c>
      <c r="F8" s="10" t="s">
        <v>85</v>
      </c>
      <c r="G8" s="10" t="s">
        <v>86</v>
      </c>
      <c r="H8" s="10" t="s">
        <v>87</v>
      </c>
      <c r="I8" s="10" t="s">
        <v>88</v>
      </c>
      <c r="J8" s="10" t="s">
        <v>89</v>
      </c>
      <c r="K8" s="10" t="s">
        <v>90</v>
      </c>
      <c r="L8" s="10" t="s">
        <v>68</v>
      </c>
      <c r="M8" s="10" t="s">
        <v>19</v>
      </c>
      <c r="N8" s="10"/>
      <c r="O8" s="10"/>
      <c r="P8" s="10"/>
      <c r="Q8" s="10"/>
      <c r="R8" s="10"/>
    </row>
    <row r="9" customFormat="false" ht="64.15" hidden="false" customHeight="false" outlineLevel="0" collapsed="false">
      <c r="A9" s="9" t="n">
        <v>5</v>
      </c>
      <c r="B9" s="9" t="s">
        <v>91</v>
      </c>
      <c r="C9" s="9" t="s">
        <v>59</v>
      </c>
      <c r="D9" s="9" t="s">
        <v>92</v>
      </c>
      <c r="E9" s="9" t="s">
        <v>71</v>
      </c>
      <c r="F9" s="9" t="s">
        <v>93</v>
      </c>
      <c r="G9" s="9" t="s">
        <v>63</v>
      </c>
      <c r="H9" s="9" t="s">
        <v>94</v>
      </c>
      <c r="I9" s="9" t="s">
        <v>95</v>
      </c>
      <c r="J9" s="9" t="s">
        <v>96</v>
      </c>
      <c r="K9" s="9" t="s">
        <v>97</v>
      </c>
      <c r="L9" s="9" t="s">
        <v>68</v>
      </c>
      <c r="M9" s="9" t="s">
        <v>19</v>
      </c>
      <c r="N9" s="9"/>
      <c r="O9" s="9"/>
      <c r="P9" s="9"/>
      <c r="Q9" s="9"/>
      <c r="R9" s="9"/>
    </row>
    <row r="10" customFormat="false" ht="64.15" hidden="false" customHeight="false" outlineLevel="0" collapsed="false">
      <c r="A10" s="10" t="n">
        <v>6</v>
      </c>
      <c r="B10" s="10" t="s">
        <v>98</v>
      </c>
      <c r="C10" s="10" t="s">
        <v>99</v>
      </c>
      <c r="D10" s="10" t="s">
        <v>100</v>
      </c>
      <c r="E10" s="10" t="s">
        <v>61</v>
      </c>
      <c r="F10" s="10" t="s">
        <v>101</v>
      </c>
      <c r="G10" s="10" t="s">
        <v>102</v>
      </c>
      <c r="H10" s="10" t="s">
        <v>103</v>
      </c>
      <c r="I10" s="10" t="s">
        <v>104</v>
      </c>
      <c r="J10" s="10" t="s">
        <v>105</v>
      </c>
      <c r="K10" s="10" t="s">
        <v>106</v>
      </c>
      <c r="L10" s="10" t="s">
        <v>68</v>
      </c>
      <c r="M10" s="10" t="s">
        <v>19</v>
      </c>
      <c r="N10" s="10"/>
      <c r="O10" s="10"/>
      <c r="P10" s="10"/>
      <c r="Q10" s="10"/>
      <c r="R10" s="10"/>
    </row>
    <row r="11" customFormat="false" ht="64.15" hidden="false" customHeight="false" outlineLevel="0" collapsed="false">
      <c r="A11" s="9" t="n">
        <v>7</v>
      </c>
      <c r="B11" s="9" t="s">
        <v>107</v>
      </c>
      <c r="C11" s="9" t="s">
        <v>108</v>
      </c>
      <c r="D11" s="9" t="s">
        <v>109</v>
      </c>
      <c r="E11" s="9" t="s">
        <v>71</v>
      </c>
      <c r="F11" s="9" t="s">
        <v>110</v>
      </c>
      <c r="G11" s="9" t="s">
        <v>63</v>
      </c>
      <c r="H11" s="9" t="s">
        <v>111</v>
      </c>
      <c r="I11" s="9" t="s">
        <v>112</v>
      </c>
      <c r="J11" s="9" t="s">
        <v>113</v>
      </c>
      <c r="K11" s="9" t="s">
        <v>114</v>
      </c>
      <c r="L11" s="9" t="s">
        <v>68</v>
      </c>
      <c r="M11" s="9" t="s">
        <v>19</v>
      </c>
      <c r="N11" s="9"/>
      <c r="O11" s="9"/>
      <c r="P11" s="9"/>
      <c r="Q11" s="9"/>
      <c r="R11" s="9"/>
    </row>
    <row r="12" customFormat="false" ht="64.15" hidden="false" customHeight="false" outlineLevel="0" collapsed="false">
      <c r="A12" s="10" t="n">
        <v>8</v>
      </c>
      <c r="B12" s="10" t="s">
        <v>115</v>
      </c>
      <c r="C12" s="10" t="s">
        <v>108</v>
      </c>
      <c r="D12" s="10" t="s">
        <v>116</v>
      </c>
      <c r="E12" s="10" t="s">
        <v>71</v>
      </c>
      <c r="F12" s="10" t="s">
        <v>110</v>
      </c>
      <c r="G12" s="10" t="s">
        <v>86</v>
      </c>
      <c r="H12" s="10" t="s">
        <v>117</v>
      </c>
      <c r="I12" s="10" t="s">
        <v>118</v>
      </c>
      <c r="J12" s="10" t="s">
        <v>119</v>
      </c>
      <c r="K12" s="10" t="s">
        <v>120</v>
      </c>
      <c r="L12" s="10" t="s">
        <v>68</v>
      </c>
      <c r="M12" s="10" t="s">
        <v>19</v>
      </c>
      <c r="N12" s="10"/>
      <c r="O12" s="10"/>
      <c r="P12" s="10"/>
      <c r="Q12" s="10"/>
      <c r="R12" s="10"/>
    </row>
    <row r="13" customFormat="false" ht="64.15" hidden="false" customHeight="false" outlineLevel="0" collapsed="false">
      <c r="A13" s="9" t="n">
        <v>9</v>
      </c>
      <c r="B13" s="9" t="s">
        <v>121</v>
      </c>
      <c r="C13" s="9" t="s">
        <v>108</v>
      </c>
      <c r="D13" s="9" t="s">
        <v>122</v>
      </c>
      <c r="E13" s="9" t="s">
        <v>71</v>
      </c>
      <c r="F13" s="9" t="s">
        <v>101</v>
      </c>
      <c r="G13" s="9" t="s">
        <v>102</v>
      </c>
      <c r="H13" s="9" t="s">
        <v>123</v>
      </c>
      <c r="I13" s="9" t="s">
        <v>124</v>
      </c>
      <c r="J13" s="9" t="s">
        <v>125</v>
      </c>
      <c r="K13" s="9" t="s">
        <v>126</v>
      </c>
      <c r="L13" s="9" t="s">
        <v>68</v>
      </c>
      <c r="M13" s="9" t="s">
        <v>19</v>
      </c>
      <c r="N13" s="9"/>
      <c r="O13" s="9"/>
      <c r="P13" s="9"/>
      <c r="Q13" s="9"/>
      <c r="R13" s="9"/>
    </row>
    <row r="14" customFormat="false" ht="64.15" hidden="false" customHeight="false" outlineLevel="0" collapsed="false">
      <c r="A14" s="10" t="n">
        <v>10</v>
      </c>
      <c r="B14" s="10" t="s">
        <v>127</v>
      </c>
      <c r="C14" s="10" t="s">
        <v>108</v>
      </c>
      <c r="D14" s="10" t="s">
        <v>128</v>
      </c>
      <c r="E14" s="10" t="s">
        <v>61</v>
      </c>
      <c r="F14" s="10" t="s">
        <v>129</v>
      </c>
      <c r="G14" s="10" t="s">
        <v>63</v>
      </c>
      <c r="H14" s="10" t="s">
        <v>130</v>
      </c>
      <c r="I14" s="10" t="s">
        <v>131</v>
      </c>
      <c r="J14" s="10" t="s">
        <v>132</v>
      </c>
      <c r="K14" s="10" t="s">
        <v>133</v>
      </c>
      <c r="L14" s="10" t="s">
        <v>68</v>
      </c>
      <c r="M14" s="10" t="s">
        <v>19</v>
      </c>
      <c r="N14" s="10"/>
      <c r="O14" s="10"/>
      <c r="P14" s="10"/>
      <c r="Q14" s="10"/>
      <c r="R14" s="10"/>
    </row>
    <row r="15" customFormat="false" ht="64.15" hidden="false" customHeight="false" outlineLevel="0" collapsed="false">
      <c r="A15" s="9" t="n">
        <v>11</v>
      </c>
      <c r="B15" s="9" t="s">
        <v>134</v>
      </c>
      <c r="C15" s="9" t="s">
        <v>135</v>
      </c>
      <c r="D15" s="9" t="s">
        <v>136</v>
      </c>
      <c r="E15" s="9" t="s">
        <v>61</v>
      </c>
      <c r="F15" s="9" t="s">
        <v>137</v>
      </c>
      <c r="G15" s="9" t="s">
        <v>102</v>
      </c>
      <c r="H15" s="9" t="s">
        <v>138</v>
      </c>
      <c r="I15" s="9" t="s">
        <v>139</v>
      </c>
      <c r="J15" s="9" t="s">
        <v>140</v>
      </c>
      <c r="K15" s="9" t="s">
        <v>141</v>
      </c>
      <c r="L15" s="9" t="s">
        <v>68</v>
      </c>
      <c r="M15" s="9" t="s">
        <v>19</v>
      </c>
      <c r="N15" s="9"/>
      <c r="O15" s="9"/>
      <c r="P15" s="9"/>
      <c r="Q15" s="9"/>
      <c r="R15" s="9"/>
    </row>
    <row r="16" customFormat="false" ht="64.15" hidden="false" customHeight="false" outlineLevel="0" collapsed="false">
      <c r="A16" s="10" t="n">
        <v>12</v>
      </c>
      <c r="B16" s="10" t="s">
        <v>142</v>
      </c>
      <c r="C16" s="10" t="s">
        <v>135</v>
      </c>
      <c r="D16" s="10" t="s">
        <v>143</v>
      </c>
      <c r="E16" s="10" t="s">
        <v>71</v>
      </c>
      <c r="F16" s="10" t="s">
        <v>144</v>
      </c>
      <c r="G16" s="10" t="s">
        <v>86</v>
      </c>
      <c r="H16" s="10" t="s">
        <v>145</v>
      </c>
      <c r="I16" s="10" t="s">
        <v>146</v>
      </c>
      <c r="J16" s="10" t="s">
        <v>147</v>
      </c>
      <c r="K16" s="10" t="s">
        <v>148</v>
      </c>
      <c r="L16" s="10" t="s">
        <v>68</v>
      </c>
      <c r="M16" s="10" t="s">
        <v>19</v>
      </c>
      <c r="N16" s="10"/>
      <c r="O16" s="10"/>
      <c r="P16" s="10"/>
      <c r="Q16" s="10"/>
      <c r="R16" s="10"/>
    </row>
    <row r="17" customFormat="false" ht="64.15" hidden="false" customHeight="false" outlineLevel="0" collapsed="false">
      <c r="A17" s="9" t="n">
        <v>13</v>
      </c>
      <c r="B17" s="9" t="s">
        <v>149</v>
      </c>
      <c r="C17" s="9" t="s">
        <v>135</v>
      </c>
      <c r="D17" s="9" t="s">
        <v>150</v>
      </c>
      <c r="E17" s="9" t="s">
        <v>61</v>
      </c>
      <c r="F17" s="9" t="s">
        <v>151</v>
      </c>
      <c r="G17" s="9" t="s">
        <v>86</v>
      </c>
      <c r="H17" s="9" t="s">
        <v>152</v>
      </c>
      <c r="I17" s="9" t="s">
        <v>153</v>
      </c>
      <c r="J17" s="9" t="s">
        <v>154</v>
      </c>
      <c r="K17" s="9" t="s">
        <v>155</v>
      </c>
      <c r="L17" s="9" t="s">
        <v>68</v>
      </c>
      <c r="M17" s="9" t="s">
        <v>19</v>
      </c>
      <c r="N17" s="9"/>
      <c r="O17" s="9"/>
      <c r="P17" s="9"/>
      <c r="Q17" s="9"/>
      <c r="R17" s="9"/>
    </row>
    <row r="18" customFormat="false" ht="64.15" hidden="false" customHeight="false" outlineLevel="0" collapsed="false">
      <c r="A18" s="10" t="n">
        <v>14</v>
      </c>
      <c r="B18" s="10" t="s">
        <v>156</v>
      </c>
      <c r="C18" s="10" t="s">
        <v>135</v>
      </c>
      <c r="D18" s="10" t="s">
        <v>157</v>
      </c>
      <c r="E18" s="10" t="s">
        <v>71</v>
      </c>
      <c r="F18" s="10" t="s">
        <v>158</v>
      </c>
      <c r="G18" s="10" t="s">
        <v>63</v>
      </c>
      <c r="H18" s="10" t="s">
        <v>159</v>
      </c>
      <c r="I18" s="10" t="s">
        <v>160</v>
      </c>
      <c r="J18" s="10" t="s">
        <v>161</v>
      </c>
      <c r="K18" s="10" t="s">
        <v>162</v>
      </c>
      <c r="L18" s="10" t="s">
        <v>68</v>
      </c>
      <c r="M18" s="10" t="s">
        <v>19</v>
      </c>
      <c r="N18" s="10"/>
      <c r="O18" s="10"/>
      <c r="P18" s="10"/>
      <c r="Q18" s="10"/>
      <c r="R18" s="10"/>
    </row>
    <row r="19" customFormat="false" ht="64.15" hidden="false" customHeight="false" outlineLevel="0" collapsed="false">
      <c r="A19" s="9" t="n">
        <v>15</v>
      </c>
      <c r="B19" s="9" t="s">
        <v>163</v>
      </c>
      <c r="C19" s="9" t="s">
        <v>135</v>
      </c>
      <c r="D19" s="9" t="s">
        <v>164</v>
      </c>
      <c r="E19" s="9" t="s">
        <v>71</v>
      </c>
      <c r="F19" s="9" t="s">
        <v>165</v>
      </c>
      <c r="G19" s="9" t="s">
        <v>102</v>
      </c>
      <c r="H19" s="9" t="s">
        <v>166</v>
      </c>
      <c r="I19" s="9" t="s">
        <v>167</v>
      </c>
      <c r="J19" s="9" t="s">
        <v>168</v>
      </c>
      <c r="K19" s="9" t="s">
        <v>169</v>
      </c>
      <c r="L19" s="9" t="s">
        <v>68</v>
      </c>
      <c r="M19" s="9" t="s">
        <v>19</v>
      </c>
      <c r="N19" s="9"/>
      <c r="O19" s="9"/>
      <c r="P19" s="9"/>
      <c r="Q19" s="9"/>
      <c r="R19" s="9"/>
    </row>
    <row r="20" customFormat="false" ht="64.15" hidden="false" customHeight="false" outlineLevel="0" collapsed="false">
      <c r="A20" s="10" t="n">
        <v>16</v>
      </c>
      <c r="B20" s="10" t="s">
        <v>170</v>
      </c>
      <c r="C20" s="10" t="s">
        <v>135</v>
      </c>
      <c r="D20" s="10" t="s">
        <v>171</v>
      </c>
      <c r="E20" s="10" t="s">
        <v>71</v>
      </c>
      <c r="F20" s="10" t="s">
        <v>172</v>
      </c>
      <c r="G20" s="10" t="s">
        <v>102</v>
      </c>
      <c r="H20" s="10" t="s">
        <v>173</v>
      </c>
      <c r="I20" s="10" t="s">
        <v>174</v>
      </c>
      <c r="J20" s="10" t="s">
        <v>175</v>
      </c>
      <c r="K20" s="10" t="s">
        <v>176</v>
      </c>
      <c r="L20" s="10" t="s">
        <v>68</v>
      </c>
      <c r="M20" s="10" t="s">
        <v>19</v>
      </c>
      <c r="N20" s="10"/>
      <c r="O20" s="10"/>
      <c r="P20" s="10"/>
      <c r="Q20" s="10"/>
      <c r="R20" s="10"/>
    </row>
    <row r="21" customFormat="false" ht="64.15" hidden="false" customHeight="false" outlineLevel="0" collapsed="false">
      <c r="A21" s="9" t="n">
        <v>17</v>
      </c>
      <c r="B21" s="9" t="s">
        <v>177</v>
      </c>
      <c r="C21" s="9" t="s">
        <v>135</v>
      </c>
      <c r="D21" s="9" t="s">
        <v>178</v>
      </c>
      <c r="E21" s="9" t="s">
        <v>61</v>
      </c>
      <c r="F21" s="9" t="s">
        <v>151</v>
      </c>
      <c r="G21" s="9" t="s">
        <v>86</v>
      </c>
      <c r="H21" s="9" t="s">
        <v>179</v>
      </c>
      <c r="I21" s="9" t="s">
        <v>180</v>
      </c>
      <c r="J21" s="9" t="s">
        <v>181</v>
      </c>
      <c r="K21" s="9" t="s">
        <v>182</v>
      </c>
      <c r="L21" s="9" t="s">
        <v>68</v>
      </c>
      <c r="M21" s="9" t="s">
        <v>19</v>
      </c>
      <c r="N21" s="9"/>
      <c r="O21" s="9"/>
      <c r="P21" s="9"/>
      <c r="Q21" s="9"/>
      <c r="R21" s="9"/>
    </row>
    <row r="22" customFormat="false" ht="64.15" hidden="false" customHeight="false" outlineLevel="0" collapsed="false">
      <c r="A22" s="10" t="n">
        <v>18</v>
      </c>
      <c r="B22" s="10" t="s">
        <v>183</v>
      </c>
      <c r="C22" s="10" t="s">
        <v>135</v>
      </c>
      <c r="D22" s="10" t="s">
        <v>184</v>
      </c>
      <c r="E22" s="10" t="s">
        <v>61</v>
      </c>
      <c r="F22" s="10" t="s">
        <v>185</v>
      </c>
      <c r="G22" s="10" t="s">
        <v>63</v>
      </c>
      <c r="H22" s="10" t="s">
        <v>186</v>
      </c>
      <c r="I22" s="10" t="s">
        <v>187</v>
      </c>
      <c r="J22" s="10" t="s">
        <v>188</v>
      </c>
      <c r="K22" s="10" t="s">
        <v>189</v>
      </c>
      <c r="L22" s="10" t="s">
        <v>68</v>
      </c>
      <c r="M22" s="10" t="s">
        <v>19</v>
      </c>
      <c r="N22" s="10"/>
      <c r="O22" s="10"/>
      <c r="P22" s="10"/>
      <c r="Q22" s="10"/>
      <c r="R22" s="10"/>
    </row>
    <row r="23" customFormat="false" ht="64.15" hidden="false" customHeight="false" outlineLevel="0" collapsed="false">
      <c r="A23" s="9" t="n">
        <v>19</v>
      </c>
      <c r="B23" s="9" t="s">
        <v>190</v>
      </c>
      <c r="C23" s="9" t="s">
        <v>135</v>
      </c>
      <c r="D23" s="9" t="s">
        <v>191</v>
      </c>
      <c r="E23" s="9" t="s">
        <v>61</v>
      </c>
      <c r="F23" s="9" t="s">
        <v>144</v>
      </c>
      <c r="G23" s="9" t="s">
        <v>102</v>
      </c>
      <c r="H23" s="9" t="s">
        <v>192</v>
      </c>
      <c r="I23" s="9" t="s">
        <v>193</v>
      </c>
      <c r="J23" s="9" t="s">
        <v>194</v>
      </c>
      <c r="K23" s="9" t="s">
        <v>195</v>
      </c>
      <c r="L23" s="9" t="s">
        <v>68</v>
      </c>
      <c r="M23" s="9" t="s">
        <v>19</v>
      </c>
      <c r="N23" s="9"/>
      <c r="O23" s="9"/>
      <c r="P23" s="9"/>
      <c r="Q23" s="9"/>
      <c r="R23" s="9"/>
    </row>
    <row r="24" customFormat="false" ht="64.15" hidden="false" customHeight="false" outlineLevel="0" collapsed="false">
      <c r="A24" s="10" t="n">
        <v>20</v>
      </c>
      <c r="B24" s="10" t="s">
        <v>196</v>
      </c>
      <c r="C24" s="10" t="s">
        <v>135</v>
      </c>
      <c r="D24" s="10" t="s">
        <v>197</v>
      </c>
      <c r="E24" s="10" t="s">
        <v>71</v>
      </c>
      <c r="F24" s="10" t="s">
        <v>62</v>
      </c>
      <c r="G24" s="10" t="s">
        <v>102</v>
      </c>
      <c r="H24" s="10" t="s">
        <v>198</v>
      </c>
      <c r="I24" s="10" t="s">
        <v>199</v>
      </c>
      <c r="J24" s="10" t="s">
        <v>200</v>
      </c>
      <c r="K24" s="10" t="s">
        <v>201</v>
      </c>
      <c r="L24" s="10" t="s">
        <v>68</v>
      </c>
      <c r="M24" s="10" t="s">
        <v>19</v>
      </c>
      <c r="N24" s="10"/>
      <c r="O24" s="10"/>
      <c r="P24" s="10"/>
      <c r="Q24" s="10"/>
      <c r="R24" s="10"/>
    </row>
    <row r="25" customFormat="false" ht="64.15" hidden="false" customHeight="false" outlineLevel="0" collapsed="false">
      <c r="A25" s="9" t="n">
        <v>21</v>
      </c>
      <c r="B25" s="9" t="s">
        <v>202</v>
      </c>
      <c r="C25" s="9" t="s">
        <v>135</v>
      </c>
      <c r="D25" s="9" t="s">
        <v>203</v>
      </c>
      <c r="E25" s="9" t="s">
        <v>71</v>
      </c>
      <c r="F25" s="9" t="s">
        <v>62</v>
      </c>
      <c r="G25" s="9" t="s">
        <v>102</v>
      </c>
      <c r="H25" s="9" t="s">
        <v>204</v>
      </c>
      <c r="I25" s="9" t="s">
        <v>205</v>
      </c>
      <c r="J25" s="9" t="s">
        <v>206</v>
      </c>
      <c r="K25" s="9" t="s">
        <v>207</v>
      </c>
      <c r="L25" s="9" t="s">
        <v>68</v>
      </c>
      <c r="M25" s="9" t="s">
        <v>19</v>
      </c>
      <c r="N25" s="9"/>
      <c r="O25" s="9"/>
      <c r="P25" s="9"/>
      <c r="Q25" s="9"/>
      <c r="R25" s="9"/>
    </row>
    <row r="26" customFormat="false" ht="64.15" hidden="false" customHeight="false" outlineLevel="0" collapsed="false">
      <c r="A26" s="10" t="n">
        <v>22</v>
      </c>
      <c r="B26" s="10" t="s">
        <v>208</v>
      </c>
      <c r="C26" s="10" t="s">
        <v>135</v>
      </c>
      <c r="D26" s="10" t="s">
        <v>209</v>
      </c>
      <c r="E26" s="10" t="s">
        <v>61</v>
      </c>
      <c r="F26" s="10" t="s">
        <v>210</v>
      </c>
      <c r="G26" s="10" t="s">
        <v>86</v>
      </c>
      <c r="H26" s="10" t="s">
        <v>211</v>
      </c>
      <c r="I26" s="10" t="s">
        <v>212</v>
      </c>
      <c r="J26" s="10" t="s">
        <v>213</v>
      </c>
      <c r="K26" s="10" t="s">
        <v>214</v>
      </c>
      <c r="L26" s="10" t="s">
        <v>68</v>
      </c>
      <c r="M26" s="10" t="s">
        <v>19</v>
      </c>
      <c r="N26" s="10"/>
      <c r="O26" s="10"/>
      <c r="P26" s="10"/>
      <c r="Q26" s="10"/>
      <c r="R26" s="10"/>
    </row>
    <row r="27" customFormat="false" ht="64.15" hidden="false" customHeight="false" outlineLevel="0" collapsed="false">
      <c r="A27" s="9" t="n">
        <v>23</v>
      </c>
      <c r="B27" s="9" t="s">
        <v>215</v>
      </c>
      <c r="C27" s="9" t="s">
        <v>135</v>
      </c>
      <c r="D27" s="9" t="s">
        <v>216</v>
      </c>
      <c r="E27" s="9" t="s">
        <v>71</v>
      </c>
      <c r="F27" s="9" t="s">
        <v>62</v>
      </c>
      <c r="G27" s="9" t="s">
        <v>63</v>
      </c>
      <c r="H27" s="9" t="s">
        <v>217</v>
      </c>
      <c r="I27" s="9" t="s">
        <v>218</v>
      </c>
      <c r="J27" s="9" t="s">
        <v>219</v>
      </c>
      <c r="K27" s="9" t="s">
        <v>220</v>
      </c>
      <c r="L27" s="9" t="s">
        <v>68</v>
      </c>
      <c r="M27" s="9" t="s">
        <v>19</v>
      </c>
      <c r="N27" s="9"/>
      <c r="O27" s="9"/>
      <c r="P27" s="9"/>
      <c r="Q27" s="9"/>
      <c r="R27" s="9"/>
    </row>
    <row r="28" customFormat="false" ht="64.15" hidden="false" customHeight="false" outlineLevel="0" collapsed="false">
      <c r="A28" s="10" t="n">
        <v>24</v>
      </c>
      <c r="B28" s="10" t="s">
        <v>221</v>
      </c>
      <c r="C28" s="10" t="s">
        <v>135</v>
      </c>
      <c r="D28" s="10" t="s">
        <v>222</v>
      </c>
      <c r="E28" s="10" t="s">
        <v>61</v>
      </c>
      <c r="F28" s="10" t="s">
        <v>185</v>
      </c>
      <c r="G28" s="10" t="s">
        <v>102</v>
      </c>
      <c r="H28" s="10" t="s">
        <v>223</v>
      </c>
      <c r="I28" s="10" t="s">
        <v>224</v>
      </c>
      <c r="J28" s="10" t="s">
        <v>225</v>
      </c>
      <c r="K28" s="10" t="s">
        <v>226</v>
      </c>
      <c r="L28" s="10" t="s">
        <v>68</v>
      </c>
      <c r="M28" s="10" t="s">
        <v>19</v>
      </c>
      <c r="N28" s="10"/>
      <c r="O28" s="10"/>
      <c r="P28" s="10"/>
      <c r="Q28" s="10"/>
      <c r="R28" s="10"/>
    </row>
    <row r="29" customFormat="false" ht="64.15" hidden="false" customHeight="false" outlineLevel="0" collapsed="false">
      <c r="A29" s="9" t="n">
        <v>25</v>
      </c>
      <c r="B29" s="9" t="s">
        <v>227</v>
      </c>
      <c r="C29" s="9" t="s">
        <v>135</v>
      </c>
      <c r="D29" s="9" t="s">
        <v>228</v>
      </c>
      <c r="E29" s="9" t="s">
        <v>71</v>
      </c>
      <c r="F29" s="9" t="s">
        <v>229</v>
      </c>
      <c r="G29" s="9" t="s">
        <v>63</v>
      </c>
      <c r="H29" s="9" t="s">
        <v>230</v>
      </c>
      <c r="I29" s="9" t="s">
        <v>231</v>
      </c>
      <c r="J29" s="9" t="s">
        <v>232</v>
      </c>
      <c r="K29" s="9" t="s">
        <v>233</v>
      </c>
      <c r="L29" s="9" t="s">
        <v>68</v>
      </c>
      <c r="M29" s="9" t="s">
        <v>19</v>
      </c>
      <c r="N29" s="9"/>
      <c r="O29" s="9"/>
      <c r="P29" s="9"/>
      <c r="Q29" s="9"/>
      <c r="R29" s="9"/>
    </row>
    <row r="30" customFormat="false" ht="64.15" hidden="false" customHeight="false" outlineLevel="0" collapsed="false">
      <c r="A30" s="10" t="n">
        <v>26</v>
      </c>
      <c r="B30" s="10" t="s">
        <v>234</v>
      </c>
      <c r="C30" s="10" t="s">
        <v>135</v>
      </c>
      <c r="D30" s="10" t="s">
        <v>235</v>
      </c>
      <c r="E30" s="10" t="s">
        <v>61</v>
      </c>
      <c r="F30" s="10" t="s">
        <v>236</v>
      </c>
      <c r="G30" s="10" t="s">
        <v>63</v>
      </c>
      <c r="H30" s="10" t="s">
        <v>237</v>
      </c>
      <c r="I30" s="10" t="s">
        <v>238</v>
      </c>
      <c r="J30" s="10" t="s">
        <v>239</v>
      </c>
      <c r="K30" s="10" t="s">
        <v>240</v>
      </c>
      <c r="L30" s="10" t="s">
        <v>68</v>
      </c>
      <c r="M30" s="10" t="s">
        <v>19</v>
      </c>
      <c r="N30" s="10"/>
      <c r="O30" s="10"/>
      <c r="P30" s="10"/>
      <c r="Q30" s="10"/>
      <c r="R30" s="10"/>
    </row>
    <row r="31" customFormat="false" ht="64.15" hidden="false" customHeight="false" outlineLevel="0" collapsed="false">
      <c r="A31" s="9" t="n">
        <v>27</v>
      </c>
      <c r="B31" s="9" t="s">
        <v>241</v>
      </c>
      <c r="C31" s="9" t="s">
        <v>242</v>
      </c>
      <c r="D31" s="9" t="s">
        <v>243</v>
      </c>
      <c r="E31" s="9" t="s">
        <v>71</v>
      </c>
      <c r="F31" s="9" t="s">
        <v>62</v>
      </c>
      <c r="G31" s="9" t="s">
        <v>102</v>
      </c>
      <c r="H31" s="9" t="s">
        <v>244</v>
      </c>
      <c r="I31" s="9" t="s">
        <v>245</v>
      </c>
      <c r="J31" s="9" t="s">
        <v>246</v>
      </c>
      <c r="K31" s="9" t="s">
        <v>247</v>
      </c>
      <c r="L31" s="9" t="s">
        <v>68</v>
      </c>
      <c r="M31" s="9" t="s">
        <v>19</v>
      </c>
      <c r="N31" s="9"/>
      <c r="O31" s="9"/>
      <c r="P31" s="9"/>
      <c r="Q31" s="9"/>
      <c r="R31" s="9"/>
    </row>
    <row r="32" customFormat="false" ht="64.15" hidden="false" customHeight="false" outlineLevel="0" collapsed="false">
      <c r="A32" s="10" t="n">
        <v>28</v>
      </c>
      <c r="B32" s="10" t="s">
        <v>248</v>
      </c>
      <c r="C32" s="10" t="s">
        <v>242</v>
      </c>
      <c r="D32" s="10" t="s">
        <v>249</v>
      </c>
      <c r="E32" s="10" t="s">
        <v>71</v>
      </c>
      <c r="F32" s="10" t="s">
        <v>62</v>
      </c>
      <c r="G32" s="10" t="s">
        <v>102</v>
      </c>
      <c r="H32" s="10" t="s">
        <v>250</v>
      </c>
      <c r="I32" s="10" t="s">
        <v>251</v>
      </c>
      <c r="J32" s="10" t="s">
        <v>252</v>
      </c>
      <c r="K32" s="10" t="s">
        <v>253</v>
      </c>
      <c r="L32" s="10" t="s">
        <v>68</v>
      </c>
      <c r="M32" s="10" t="s">
        <v>19</v>
      </c>
      <c r="N32" s="10"/>
      <c r="O32" s="10"/>
      <c r="P32" s="10"/>
      <c r="Q32" s="10"/>
      <c r="R32" s="10"/>
    </row>
    <row r="33" customFormat="false" ht="64.15" hidden="false" customHeight="false" outlineLevel="0" collapsed="false">
      <c r="A33" s="9" t="n">
        <v>29</v>
      </c>
      <c r="B33" s="9" t="s">
        <v>254</v>
      </c>
      <c r="C33" s="9" t="s">
        <v>242</v>
      </c>
      <c r="D33" s="9" t="s">
        <v>255</v>
      </c>
      <c r="E33" s="9" t="s">
        <v>61</v>
      </c>
      <c r="F33" s="9" t="s">
        <v>256</v>
      </c>
      <c r="G33" s="9" t="s">
        <v>86</v>
      </c>
      <c r="H33" s="9" t="s">
        <v>257</v>
      </c>
      <c r="I33" s="9" t="s">
        <v>258</v>
      </c>
      <c r="J33" s="9" t="s">
        <v>259</v>
      </c>
      <c r="K33" s="9" t="s">
        <v>260</v>
      </c>
      <c r="L33" s="9" t="s">
        <v>68</v>
      </c>
      <c r="M33" s="9" t="s">
        <v>19</v>
      </c>
      <c r="N33" s="9"/>
      <c r="O33" s="9"/>
      <c r="P33" s="9"/>
      <c r="Q33" s="9"/>
      <c r="R33" s="9"/>
    </row>
    <row r="34" customFormat="false" ht="64.15" hidden="false" customHeight="false" outlineLevel="0" collapsed="false">
      <c r="A34" s="10" t="n">
        <v>30</v>
      </c>
      <c r="B34" s="10" t="s">
        <v>261</v>
      </c>
      <c r="C34" s="10" t="s">
        <v>242</v>
      </c>
      <c r="D34" s="10" t="s">
        <v>262</v>
      </c>
      <c r="E34" s="10" t="s">
        <v>78</v>
      </c>
      <c r="F34" s="10" t="s">
        <v>263</v>
      </c>
      <c r="G34" s="10" t="s">
        <v>86</v>
      </c>
      <c r="H34" s="10" t="s">
        <v>244</v>
      </c>
      <c r="I34" s="10" t="s">
        <v>264</v>
      </c>
      <c r="J34" s="10" t="s">
        <v>265</v>
      </c>
      <c r="K34" s="10" t="s">
        <v>266</v>
      </c>
      <c r="L34" s="10" t="s">
        <v>68</v>
      </c>
      <c r="M34" s="10" t="s">
        <v>19</v>
      </c>
      <c r="N34" s="10"/>
      <c r="O34" s="10"/>
      <c r="P34" s="10"/>
      <c r="Q34" s="10"/>
      <c r="R34" s="10"/>
    </row>
    <row r="35" customFormat="false" ht="64.15" hidden="false" customHeight="false" outlineLevel="0" collapsed="false">
      <c r="A35" s="9" t="n">
        <v>31</v>
      </c>
      <c r="B35" s="9" t="s">
        <v>267</v>
      </c>
      <c r="C35" s="9" t="s">
        <v>242</v>
      </c>
      <c r="D35" s="9" t="s">
        <v>268</v>
      </c>
      <c r="E35" s="9" t="s">
        <v>71</v>
      </c>
      <c r="F35" s="9" t="s">
        <v>269</v>
      </c>
      <c r="G35" s="9" t="s">
        <v>86</v>
      </c>
      <c r="H35" s="9" t="s">
        <v>270</v>
      </c>
      <c r="I35" s="9" t="s">
        <v>271</v>
      </c>
      <c r="J35" s="9" t="s">
        <v>272</v>
      </c>
      <c r="K35" s="9" t="s">
        <v>273</v>
      </c>
      <c r="L35" s="9" t="s">
        <v>68</v>
      </c>
      <c r="M35" s="9" t="s">
        <v>19</v>
      </c>
      <c r="N35" s="9"/>
      <c r="O35" s="9"/>
      <c r="P35" s="9"/>
      <c r="Q35" s="9"/>
      <c r="R35" s="9"/>
    </row>
    <row r="36" customFormat="false" ht="64.15" hidden="false" customHeight="false" outlineLevel="0" collapsed="false">
      <c r="A36" s="10" t="n">
        <v>32</v>
      </c>
      <c r="B36" s="10" t="s">
        <v>274</v>
      </c>
      <c r="C36" s="10" t="s">
        <v>242</v>
      </c>
      <c r="D36" s="10" t="s">
        <v>275</v>
      </c>
      <c r="E36" s="10" t="s">
        <v>71</v>
      </c>
      <c r="F36" s="10" t="s">
        <v>269</v>
      </c>
      <c r="G36" s="10" t="s">
        <v>86</v>
      </c>
      <c r="H36" s="10" t="s">
        <v>270</v>
      </c>
      <c r="I36" s="10" t="s">
        <v>276</v>
      </c>
      <c r="J36" s="10" t="s">
        <v>277</v>
      </c>
      <c r="K36" s="10" t="s">
        <v>278</v>
      </c>
      <c r="L36" s="10" t="s">
        <v>68</v>
      </c>
      <c r="M36" s="10" t="s">
        <v>19</v>
      </c>
      <c r="N36" s="10"/>
      <c r="O36" s="10"/>
      <c r="P36" s="10"/>
      <c r="Q36" s="10"/>
      <c r="R36" s="10"/>
    </row>
    <row r="37" customFormat="false" ht="64.15" hidden="false" customHeight="false" outlineLevel="0" collapsed="false">
      <c r="A37" s="9" t="n">
        <v>33</v>
      </c>
      <c r="B37" s="9" t="s">
        <v>279</v>
      </c>
      <c r="C37" s="9" t="s">
        <v>242</v>
      </c>
      <c r="D37" s="9" t="s">
        <v>280</v>
      </c>
      <c r="E37" s="9" t="s">
        <v>71</v>
      </c>
      <c r="F37" s="9" t="s">
        <v>62</v>
      </c>
      <c r="G37" s="9" t="s">
        <v>102</v>
      </c>
      <c r="H37" s="9" t="s">
        <v>281</v>
      </c>
      <c r="I37" s="9" t="s">
        <v>282</v>
      </c>
      <c r="J37" s="9" t="s">
        <v>283</v>
      </c>
      <c r="K37" s="9" t="s">
        <v>284</v>
      </c>
      <c r="L37" s="9" t="s">
        <v>68</v>
      </c>
      <c r="M37" s="9" t="s">
        <v>19</v>
      </c>
      <c r="N37" s="9"/>
      <c r="O37" s="9"/>
      <c r="P37" s="9"/>
      <c r="Q37" s="9"/>
      <c r="R37" s="9"/>
    </row>
    <row r="38" customFormat="false" ht="64.15" hidden="false" customHeight="false" outlineLevel="0" collapsed="false">
      <c r="A38" s="10" t="n">
        <v>34</v>
      </c>
      <c r="B38" s="10" t="s">
        <v>285</v>
      </c>
      <c r="C38" s="10" t="s">
        <v>286</v>
      </c>
      <c r="D38" s="10" t="s">
        <v>287</v>
      </c>
      <c r="E38" s="10" t="s">
        <v>61</v>
      </c>
      <c r="F38" s="10" t="s">
        <v>288</v>
      </c>
      <c r="G38" s="10" t="s">
        <v>102</v>
      </c>
      <c r="H38" s="10" t="s">
        <v>244</v>
      </c>
      <c r="I38" s="10" t="s">
        <v>289</v>
      </c>
      <c r="J38" s="10" t="s">
        <v>290</v>
      </c>
      <c r="K38" s="10" t="s">
        <v>291</v>
      </c>
      <c r="L38" s="10" t="s">
        <v>68</v>
      </c>
      <c r="M38" s="10" t="s">
        <v>19</v>
      </c>
      <c r="N38" s="10"/>
      <c r="O38" s="10"/>
      <c r="P38" s="10"/>
      <c r="Q38" s="10"/>
      <c r="R38" s="10"/>
    </row>
    <row r="39" customFormat="false" ht="64.15" hidden="false" customHeight="false" outlineLevel="0" collapsed="false">
      <c r="A39" s="9" t="n">
        <v>35</v>
      </c>
      <c r="B39" s="9" t="s">
        <v>292</v>
      </c>
      <c r="C39" s="9" t="s">
        <v>286</v>
      </c>
      <c r="D39" s="9" t="s">
        <v>293</v>
      </c>
      <c r="E39" s="9" t="s">
        <v>71</v>
      </c>
      <c r="F39" s="9" t="s">
        <v>165</v>
      </c>
      <c r="G39" s="9" t="s">
        <v>102</v>
      </c>
      <c r="H39" s="9" t="s">
        <v>103</v>
      </c>
      <c r="I39" s="9" t="s">
        <v>294</v>
      </c>
      <c r="J39" s="9" t="s">
        <v>295</v>
      </c>
      <c r="K39" s="9" t="s">
        <v>296</v>
      </c>
      <c r="L39" s="9" t="s">
        <v>68</v>
      </c>
      <c r="M39" s="9" t="s">
        <v>19</v>
      </c>
      <c r="N39" s="9"/>
      <c r="O39" s="9"/>
      <c r="P39" s="9"/>
      <c r="Q39" s="9"/>
      <c r="R39" s="9"/>
    </row>
    <row r="40" customFormat="false" ht="64.15" hidden="false" customHeight="false" outlineLevel="0" collapsed="false">
      <c r="A40" s="10" t="n">
        <v>36</v>
      </c>
      <c r="B40" s="10" t="s">
        <v>297</v>
      </c>
      <c r="C40" s="10" t="s">
        <v>286</v>
      </c>
      <c r="D40" s="10" t="s">
        <v>298</v>
      </c>
      <c r="E40" s="10" t="s">
        <v>71</v>
      </c>
      <c r="F40" s="10" t="s">
        <v>299</v>
      </c>
      <c r="G40" s="10" t="s">
        <v>102</v>
      </c>
      <c r="H40" s="10" t="s">
        <v>300</v>
      </c>
      <c r="I40" s="10" t="s">
        <v>301</v>
      </c>
      <c r="J40" s="10" t="s">
        <v>302</v>
      </c>
      <c r="K40" s="10" t="s">
        <v>303</v>
      </c>
      <c r="L40" s="10" t="s">
        <v>68</v>
      </c>
      <c r="M40" s="10" t="s">
        <v>19</v>
      </c>
      <c r="N40" s="10"/>
      <c r="O40" s="10"/>
      <c r="P40" s="10"/>
      <c r="Q40" s="10"/>
      <c r="R40" s="10"/>
    </row>
    <row r="41" customFormat="false" ht="64.15" hidden="false" customHeight="false" outlineLevel="0" collapsed="false">
      <c r="A41" s="9" t="n">
        <v>37</v>
      </c>
      <c r="B41" s="9" t="s">
        <v>304</v>
      </c>
      <c r="C41" s="9" t="s">
        <v>286</v>
      </c>
      <c r="D41" s="9" t="s">
        <v>305</v>
      </c>
      <c r="E41" s="9" t="s">
        <v>61</v>
      </c>
      <c r="F41" s="9" t="s">
        <v>269</v>
      </c>
      <c r="G41" s="9" t="s">
        <v>86</v>
      </c>
      <c r="H41" s="9" t="s">
        <v>306</v>
      </c>
      <c r="I41" s="9" t="s">
        <v>307</v>
      </c>
      <c r="J41" s="9" t="s">
        <v>308</v>
      </c>
      <c r="K41" s="9" t="s">
        <v>309</v>
      </c>
      <c r="L41" s="9" t="s">
        <v>68</v>
      </c>
      <c r="M41" s="9" t="s">
        <v>19</v>
      </c>
      <c r="N41" s="9"/>
      <c r="O41" s="9"/>
      <c r="P41" s="9"/>
      <c r="Q41" s="9"/>
      <c r="R41" s="9"/>
    </row>
    <row r="42" customFormat="false" ht="64.15" hidden="false" customHeight="false" outlineLevel="0" collapsed="false">
      <c r="A42" s="10" t="n">
        <v>38</v>
      </c>
      <c r="B42" s="10" t="s">
        <v>310</v>
      </c>
      <c r="C42" s="10" t="s">
        <v>286</v>
      </c>
      <c r="D42" s="10" t="s">
        <v>311</v>
      </c>
      <c r="E42" s="10" t="s">
        <v>71</v>
      </c>
      <c r="F42" s="10" t="s">
        <v>269</v>
      </c>
      <c r="G42" s="10" t="s">
        <v>86</v>
      </c>
      <c r="H42" s="10" t="s">
        <v>312</v>
      </c>
      <c r="I42" s="10" t="s">
        <v>313</v>
      </c>
      <c r="J42" s="10" t="s">
        <v>314</v>
      </c>
      <c r="K42" s="10" t="s">
        <v>315</v>
      </c>
      <c r="L42" s="10" t="s">
        <v>68</v>
      </c>
      <c r="M42" s="10" t="s">
        <v>19</v>
      </c>
      <c r="N42" s="10"/>
      <c r="O42" s="10"/>
      <c r="P42" s="10"/>
      <c r="Q42" s="10"/>
      <c r="R42" s="10"/>
    </row>
    <row r="43" customFormat="false" ht="64.15" hidden="false" customHeight="false" outlineLevel="0" collapsed="false">
      <c r="A43" s="9" t="n">
        <v>39</v>
      </c>
      <c r="B43" s="9" t="s">
        <v>316</v>
      </c>
      <c r="C43" s="9" t="s">
        <v>286</v>
      </c>
      <c r="D43" s="9" t="s">
        <v>317</v>
      </c>
      <c r="E43" s="9" t="s">
        <v>71</v>
      </c>
      <c r="F43" s="9" t="s">
        <v>62</v>
      </c>
      <c r="G43" s="9" t="s">
        <v>102</v>
      </c>
      <c r="H43" s="9" t="s">
        <v>318</v>
      </c>
      <c r="I43" s="9" t="s">
        <v>319</v>
      </c>
      <c r="J43" s="9" t="s">
        <v>320</v>
      </c>
      <c r="K43" s="9" t="s">
        <v>321</v>
      </c>
      <c r="L43" s="9" t="s">
        <v>68</v>
      </c>
      <c r="M43" s="9" t="s">
        <v>19</v>
      </c>
      <c r="N43" s="9"/>
      <c r="O43" s="9"/>
      <c r="P43" s="9"/>
      <c r="Q43" s="9"/>
      <c r="R43" s="9"/>
    </row>
    <row r="44" customFormat="false" ht="64.15" hidden="false" customHeight="false" outlineLevel="0" collapsed="false">
      <c r="A44" s="10" t="n">
        <v>40</v>
      </c>
      <c r="B44" s="10" t="s">
        <v>322</v>
      </c>
      <c r="C44" s="10" t="s">
        <v>286</v>
      </c>
      <c r="D44" s="10" t="s">
        <v>323</v>
      </c>
      <c r="E44" s="10" t="s">
        <v>61</v>
      </c>
      <c r="F44" s="10" t="s">
        <v>324</v>
      </c>
      <c r="G44" s="10" t="s">
        <v>86</v>
      </c>
      <c r="H44" s="10" t="s">
        <v>312</v>
      </c>
      <c r="I44" s="10" t="s">
        <v>325</v>
      </c>
      <c r="J44" s="10" t="s">
        <v>326</v>
      </c>
      <c r="K44" s="10" t="s">
        <v>327</v>
      </c>
      <c r="L44" s="10" t="s">
        <v>68</v>
      </c>
      <c r="M44" s="10" t="s">
        <v>19</v>
      </c>
      <c r="N44" s="10"/>
      <c r="O44" s="10"/>
      <c r="P44" s="10"/>
      <c r="Q44" s="10"/>
      <c r="R44" s="10"/>
    </row>
    <row r="45" customFormat="false" ht="64.15" hidden="false" customHeight="false" outlineLevel="0" collapsed="false">
      <c r="A45" s="9" t="n">
        <v>41</v>
      </c>
      <c r="B45" s="9" t="s">
        <v>328</v>
      </c>
      <c r="C45" s="9" t="s">
        <v>286</v>
      </c>
      <c r="D45" s="9" t="s">
        <v>329</v>
      </c>
      <c r="E45" s="9" t="s">
        <v>71</v>
      </c>
      <c r="F45" s="9" t="s">
        <v>324</v>
      </c>
      <c r="G45" s="9" t="s">
        <v>86</v>
      </c>
      <c r="H45" s="9" t="s">
        <v>330</v>
      </c>
      <c r="I45" s="9" t="s">
        <v>331</v>
      </c>
      <c r="J45" s="9" t="s">
        <v>332</v>
      </c>
      <c r="K45" s="9" t="s">
        <v>333</v>
      </c>
      <c r="L45" s="9" t="s">
        <v>68</v>
      </c>
      <c r="M45" s="9" t="s">
        <v>19</v>
      </c>
      <c r="N45" s="9"/>
      <c r="O45" s="9"/>
      <c r="P45" s="9"/>
      <c r="Q45" s="9"/>
      <c r="R45" s="9"/>
    </row>
    <row r="46" customFormat="false" ht="64.15" hidden="false" customHeight="false" outlineLevel="0" collapsed="false">
      <c r="A46" s="10" t="n">
        <v>42</v>
      </c>
      <c r="B46" s="10" t="s">
        <v>334</v>
      </c>
      <c r="C46" s="10" t="s">
        <v>286</v>
      </c>
      <c r="D46" s="10" t="s">
        <v>335</v>
      </c>
      <c r="E46" s="10" t="s">
        <v>61</v>
      </c>
      <c r="F46" s="10" t="s">
        <v>336</v>
      </c>
      <c r="G46" s="10" t="s">
        <v>102</v>
      </c>
      <c r="H46" s="10" t="s">
        <v>337</v>
      </c>
      <c r="I46" s="10" t="s">
        <v>338</v>
      </c>
      <c r="J46" s="10" t="s">
        <v>339</v>
      </c>
      <c r="K46" s="10" t="s">
        <v>340</v>
      </c>
      <c r="L46" s="10" t="s">
        <v>68</v>
      </c>
      <c r="M46" s="10" t="s">
        <v>19</v>
      </c>
      <c r="N46" s="10"/>
      <c r="O46" s="10"/>
      <c r="P46" s="10"/>
      <c r="Q46" s="10"/>
      <c r="R46" s="10"/>
    </row>
    <row r="47" customFormat="false" ht="64.15" hidden="false" customHeight="false" outlineLevel="0" collapsed="false">
      <c r="A47" s="9" t="n">
        <v>43</v>
      </c>
      <c r="B47" s="9" t="s">
        <v>341</v>
      </c>
      <c r="C47" s="9" t="s">
        <v>286</v>
      </c>
      <c r="D47" s="9" t="s">
        <v>342</v>
      </c>
      <c r="E47" s="9" t="s">
        <v>61</v>
      </c>
      <c r="F47" s="9" t="s">
        <v>343</v>
      </c>
      <c r="G47" s="9" t="s">
        <v>102</v>
      </c>
      <c r="H47" s="9" t="s">
        <v>344</v>
      </c>
      <c r="I47" s="9" t="s">
        <v>345</v>
      </c>
      <c r="J47" s="9" t="s">
        <v>346</v>
      </c>
      <c r="K47" s="9" t="s">
        <v>347</v>
      </c>
      <c r="L47" s="9" t="s">
        <v>68</v>
      </c>
      <c r="M47" s="9" t="s">
        <v>19</v>
      </c>
      <c r="N47" s="9"/>
      <c r="O47" s="9"/>
      <c r="P47" s="9"/>
      <c r="Q47" s="9"/>
      <c r="R47" s="9"/>
    </row>
    <row r="48" customFormat="false" ht="64.15" hidden="false" customHeight="false" outlineLevel="0" collapsed="false">
      <c r="A48" s="10" t="n">
        <v>44</v>
      </c>
      <c r="B48" s="10" t="s">
        <v>348</v>
      </c>
      <c r="C48" s="10" t="s">
        <v>349</v>
      </c>
      <c r="D48" s="10" t="s">
        <v>350</v>
      </c>
      <c r="E48" s="10" t="s">
        <v>78</v>
      </c>
      <c r="F48" s="10" t="s">
        <v>299</v>
      </c>
      <c r="G48" s="10" t="s">
        <v>102</v>
      </c>
      <c r="H48" s="10" t="s">
        <v>312</v>
      </c>
      <c r="I48" s="10" t="s">
        <v>351</v>
      </c>
      <c r="J48" s="10" t="s">
        <v>352</v>
      </c>
      <c r="K48" s="10" t="s">
        <v>353</v>
      </c>
      <c r="L48" s="10" t="s">
        <v>68</v>
      </c>
      <c r="M48" s="10" t="s">
        <v>19</v>
      </c>
      <c r="N48" s="10"/>
      <c r="O48" s="10"/>
      <c r="P48" s="10"/>
      <c r="Q48" s="10"/>
      <c r="R48" s="10"/>
    </row>
    <row r="49" customFormat="false" ht="64.15" hidden="false" customHeight="false" outlineLevel="0" collapsed="false">
      <c r="A49" s="9" t="n">
        <v>45</v>
      </c>
      <c r="B49" s="9" t="s">
        <v>354</v>
      </c>
      <c r="C49" s="9" t="s">
        <v>349</v>
      </c>
      <c r="D49" s="9" t="s">
        <v>355</v>
      </c>
      <c r="E49" s="9" t="s">
        <v>71</v>
      </c>
      <c r="F49" s="9" t="s">
        <v>299</v>
      </c>
      <c r="G49" s="9" t="s">
        <v>102</v>
      </c>
      <c r="H49" s="9" t="s">
        <v>356</v>
      </c>
      <c r="I49" s="9" t="s">
        <v>357</v>
      </c>
      <c r="J49" s="9" t="s">
        <v>358</v>
      </c>
      <c r="K49" s="9" t="s">
        <v>359</v>
      </c>
      <c r="L49" s="9" t="s">
        <v>68</v>
      </c>
      <c r="M49" s="9" t="s">
        <v>19</v>
      </c>
      <c r="N49" s="9"/>
      <c r="O49" s="9"/>
      <c r="P49" s="9"/>
      <c r="Q49" s="9"/>
      <c r="R49" s="9"/>
    </row>
    <row r="50" customFormat="false" ht="64.15" hidden="false" customHeight="false" outlineLevel="0" collapsed="false">
      <c r="A50" s="10" t="n">
        <v>46</v>
      </c>
      <c r="B50" s="10" t="s">
        <v>360</v>
      </c>
      <c r="C50" s="10" t="s">
        <v>349</v>
      </c>
      <c r="D50" s="10" t="s">
        <v>361</v>
      </c>
      <c r="E50" s="10" t="s">
        <v>78</v>
      </c>
      <c r="F50" s="10" t="s">
        <v>110</v>
      </c>
      <c r="G50" s="10" t="s">
        <v>86</v>
      </c>
      <c r="H50" s="10" t="s">
        <v>362</v>
      </c>
      <c r="I50" s="10" t="s">
        <v>363</v>
      </c>
      <c r="J50" s="10" t="s">
        <v>364</v>
      </c>
      <c r="K50" s="10" t="s">
        <v>365</v>
      </c>
      <c r="L50" s="10" t="s">
        <v>68</v>
      </c>
      <c r="M50" s="10" t="s">
        <v>19</v>
      </c>
      <c r="N50" s="10"/>
      <c r="O50" s="10"/>
      <c r="P50" s="10"/>
      <c r="Q50" s="10"/>
      <c r="R50" s="10"/>
    </row>
    <row r="51" customFormat="false" ht="64.15" hidden="false" customHeight="false" outlineLevel="0" collapsed="false">
      <c r="A51" s="9" t="n">
        <v>47</v>
      </c>
      <c r="B51" s="9" t="s">
        <v>366</v>
      </c>
      <c r="C51" s="9" t="s">
        <v>286</v>
      </c>
      <c r="D51" s="9" t="s">
        <v>367</v>
      </c>
      <c r="E51" s="9" t="s">
        <v>61</v>
      </c>
      <c r="F51" s="9" t="s">
        <v>229</v>
      </c>
      <c r="G51" s="9" t="s">
        <v>63</v>
      </c>
      <c r="H51" s="9" t="s">
        <v>368</v>
      </c>
      <c r="I51" s="9" t="s">
        <v>369</v>
      </c>
      <c r="J51" s="9" t="s">
        <v>370</v>
      </c>
      <c r="K51" s="9" t="s">
        <v>371</v>
      </c>
      <c r="L51" s="9" t="s">
        <v>68</v>
      </c>
      <c r="M51" s="9" t="s">
        <v>19</v>
      </c>
      <c r="N51" s="9"/>
      <c r="O51" s="9"/>
      <c r="P51" s="9"/>
      <c r="Q51" s="9"/>
      <c r="R51" s="9"/>
    </row>
    <row r="52" customFormat="false" ht="64.15" hidden="false" customHeight="false" outlineLevel="0" collapsed="false">
      <c r="A52" s="10" t="n">
        <v>48</v>
      </c>
      <c r="B52" s="10" t="s">
        <v>372</v>
      </c>
      <c r="C52" s="10" t="s">
        <v>373</v>
      </c>
      <c r="D52" s="10" t="s">
        <v>374</v>
      </c>
      <c r="E52" s="10" t="s">
        <v>71</v>
      </c>
      <c r="F52" s="10" t="s">
        <v>263</v>
      </c>
      <c r="G52" s="10" t="s">
        <v>102</v>
      </c>
      <c r="H52" s="10" t="s">
        <v>281</v>
      </c>
      <c r="I52" s="10" t="s">
        <v>375</v>
      </c>
      <c r="J52" s="10" t="s">
        <v>376</v>
      </c>
      <c r="K52" s="10" t="s">
        <v>377</v>
      </c>
      <c r="L52" s="10" t="s">
        <v>68</v>
      </c>
      <c r="M52" s="10" t="s">
        <v>19</v>
      </c>
      <c r="N52" s="10"/>
      <c r="O52" s="10"/>
      <c r="P52" s="10"/>
      <c r="Q52" s="10"/>
      <c r="R52" s="10"/>
    </row>
    <row r="53" customFormat="false" ht="64.15" hidden="false" customHeight="false" outlineLevel="0" collapsed="false">
      <c r="A53" s="9" t="n">
        <v>49</v>
      </c>
      <c r="B53" s="9" t="s">
        <v>378</v>
      </c>
      <c r="C53" s="9" t="s">
        <v>373</v>
      </c>
      <c r="D53" s="9" t="s">
        <v>379</v>
      </c>
      <c r="E53" s="9" t="s">
        <v>71</v>
      </c>
      <c r="F53" s="9" t="s">
        <v>263</v>
      </c>
      <c r="G53" s="9" t="s">
        <v>63</v>
      </c>
      <c r="H53" s="9" t="s">
        <v>380</v>
      </c>
      <c r="I53" s="9" t="s">
        <v>381</v>
      </c>
      <c r="J53" s="9" t="s">
        <v>382</v>
      </c>
      <c r="K53" s="9" t="s">
        <v>383</v>
      </c>
      <c r="L53" s="9" t="s">
        <v>68</v>
      </c>
      <c r="M53" s="9" t="s">
        <v>19</v>
      </c>
      <c r="N53" s="9"/>
      <c r="O53" s="9"/>
      <c r="P53" s="9"/>
      <c r="Q53" s="9"/>
      <c r="R53" s="9"/>
    </row>
    <row r="54" customFormat="false" ht="64.15" hidden="false" customHeight="false" outlineLevel="0" collapsed="false">
      <c r="A54" s="10" t="n">
        <v>50</v>
      </c>
      <c r="B54" s="10" t="s">
        <v>384</v>
      </c>
      <c r="C54" s="10" t="s">
        <v>385</v>
      </c>
      <c r="D54" s="10" t="s">
        <v>386</v>
      </c>
      <c r="E54" s="10" t="s">
        <v>71</v>
      </c>
      <c r="F54" s="10" t="s">
        <v>387</v>
      </c>
      <c r="G54" s="10" t="s">
        <v>86</v>
      </c>
      <c r="H54" s="10" t="s">
        <v>281</v>
      </c>
      <c r="I54" s="10" t="s">
        <v>388</v>
      </c>
      <c r="J54" s="10" t="s">
        <v>389</v>
      </c>
      <c r="K54" s="10" t="s">
        <v>390</v>
      </c>
      <c r="L54" s="10" t="s">
        <v>68</v>
      </c>
      <c r="M54" s="10" t="s">
        <v>19</v>
      </c>
      <c r="N54" s="10"/>
      <c r="O54" s="10"/>
      <c r="P54" s="10"/>
      <c r="Q54" s="10"/>
      <c r="R54" s="10"/>
    </row>
    <row r="55" customFormat="false" ht="64.15" hidden="false" customHeight="false" outlineLevel="0" collapsed="false">
      <c r="A55" s="9" t="n">
        <v>51</v>
      </c>
      <c r="B55" s="9" t="s">
        <v>391</v>
      </c>
      <c r="C55" s="9" t="s">
        <v>385</v>
      </c>
      <c r="D55" s="9" t="s">
        <v>392</v>
      </c>
      <c r="E55" s="9" t="s">
        <v>71</v>
      </c>
      <c r="F55" s="9" t="s">
        <v>393</v>
      </c>
      <c r="G55" s="9" t="s">
        <v>63</v>
      </c>
      <c r="H55" s="9" t="s">
        <v>394</v>
      </c>
      <c r="I55" s="9" t="s">
        <v>395</v>
      </c>
      <c r="J55" s="9" t="s">
        <v>396</v>
      </c>
      <c r="K55" s="9" t="s">
        <v>397</v>
      </c>
      <c r="L55" s="9" t="s">
        <v>68</v>
      </c>
      <c r="M55" s="9" t="s">
        <v>19</v>
      </c>
      <c r="N55" s="9"/>
      <c r="O55" s="9"/>
      <c r="P55" s="9"/>
      <c r="Q55" s="9"/>
      <c r="R55" s="9"/>
    </row>
    <row r="56" customFormat="false" ht="64.15" hidden="false" customHeight="false" outlineLevel="0" collapsed="false">
      <c r="A56" s="10" t="n">
        <v>52</v>
      </c>
      <c r="B56" s="10" t="s">
        <v>398</v>
      </c>
      <c r="C56" s="10" t="s">
        <v>385</v>
      </c>
      <c r="D56" s="10" t="s">
        <v>399</v>
      </c>
      <c r="E56" s="10" t="s">
        <v>61</v>
      </c>
      <c r="F56" s="10" t="s">
        <v>393</v>
      </c>
      <c r="G56" s="10" t="s">
        <v>86</v>
      </c>
      <c r="H56" s="10" t="s">
        <v>400</v>
      </c>
      <c r="I56" s="10" t="s">
        <v>401</v>
      </c>
      <c r="J56" s="10" t="s">
        <v>402</v>
      </c>
      <c r="K56" s="10" t="s">
        <v>403</v>
      </c>
      <c r="L56" s="10" t="s">
        <v>68</v>
      </c>
      <c r="M56" s="10" t="s">
        <v>19</v>
      </c>
      <c r="N56" s="10"/>
      <c r="O56" s="10"/>
      <c r="P56" s="10"/>
      <c r="Q56" s="10"/>
      <c r="R56" s="10"/>
    </row>
    <row r="57" customFormat="false" ht="64.15" hidden="false" customHeight="false" outlineLevel="0" collapsed="false">
      <c r="A57" s="9" t="n">
        <v>53</v>
      </c>
      <c r="B57" s="9" t="s">
        <v>404</v>
      </c>
      <c r="C57" s="9" t="s">
        <v>385</v>
      </c>
      <c r="D57" s="9" t="s">
        <v>405</v>
      </c>
      <c r="E57" s="9" t="s">
        <v>71</v>
      </c>
      <c r="F57" s="9" t="s">
        <v>406</v>
      </c>
      <c r="G57" s="9" t="s">
        <v>63</v>
      </c>
      <c r="H57" s="9" t="s">
        <v>407</v>
      </c>
      <c r="I57" s="9" t="s">
        <v>408</v>
      </c>
      <c r="J57" s="9" t="s">
        <v>409</v>
      </c>
      <c r="K57" s="9" t="s">
        <v>410</v>
      </c>
      <c r="L57" s="9" t="s">
        <v>68</v>
      </c>
      <c r="M57" s="9" t="s">
        <v>19</v>
      </c>
      <c r="N57" s="9"/>
      <c r="O57" s="9"/>
      <c r="P57" s="9"/>
      <c r="Q57" s="9"/>
      <c r="R57" s="9"/>
    </row>
    <row r="58" customFormat="false" ht="64.15" hidden="false" customHeight="false" outlineLevel="0" collapsed="false">
      <c r="A58" s="10" t="n">
        <v>54</v>
      </c>
      <c r="B58" s="10" t="s">
        <v>411</v>
      </c>
      <c r="C58" s="10" t="s">
        <v>412</v>
      </c>
      <c r="D58" s="10" t="s">
        <v>413</v>
      </c>
      <c r="E58" s="10" t="s">
        <v>78</v>
      </c>
      <c r="F58" s="10" t="s">
        <v>263</v>
      </c>
      <c r="G58" s="10" t="s">
        <v>63</v>
      </c>
      <c r="H58" s="10" t="s">
        <v>414</v>
      </c>
      <c r="I58" s="10" t="s">
        <v>415</v>
      </c>
      <c r="J58" s="10" t="s">
        <v>416</v>
      </c>
      <c r="K58" s="10" t="s">
        <v>417</v>
      </c>
      <c r="L58" s="10" t="s">
        <v>68</v>
      </c>
      <c r="M58" s="10" t="s">
        <v>19</v>
      </c>
      <c r="N58" s="10"/>
      <c r="O58" s="10"/>
      <c r="P58" s="10"/>
      <c r="Q58" s="10"/>
      <c r="R58" s="10"/>
    </row>
    <row r="59" customFormat="false" ht="64.15" hidden="false" customHeight="false" outlineLevel="0" collapsed="false">
      <c r="A59" s="9" t="n">
        <v>55</v>
      </c>
      <c r="B59" s="9" t="s">
        <v>418</v>
      </c>
      <c r="C59" s="9" t="s">
        <v>373</v>
      </c>
      <c r="D59" s="9" t="s">
        <v>419</v>
      </c>
      <c r="E59" s="9" t="s">
        <v>78</v>
      </c>
      <c r="F59" s="9" t="s">
        <v>62</v>
      </c>
      <c r="G59" s="9" t="s">
        <v>63</v>
      </c>
      <c r="H59" s="9" t="s">
        <v>420</v>
      </c>
      <c r="I59" s="9" t="s">
        <v>421</v>
      </c>
      <c r="J59" s="9" t="s">
        <v>422</v>
      </c>
      <c r="K59" s="9" t="s">
        <v>423</v>
      </c>
      <c r="L59" s="9" t="s">
        <v>68</v>
      </c>
      <c r="M59" s="9" t="s">
        <v>19</v>
      </c>
      <c r="N59" s="9"/>
      <c r="O59" s="9"/>
      <c r="P59" s="9"/>
      <c r="Q59" s="9"/>
      <c r="R59" s="9"/>
    </row>
    <row r="60" customFormat="false" ht="64.15" hidden="false" customHeight="false" outlineLevel="0" collapsed="false">
      <c r="A60" s="10" t="n">
        <v>56</v>
      </c>
      <c r="B60" s="10" t="s">
        <v>424</v>
      </c>
      <c r="C60" s="10" t="s">
        <v>425</v>
      </c>
      <c r="D60" s="10" t="s">
        <v>426</v>
      </c>
      <c r="E60" s="10" t="s">
        <v>61</v>
      </c>
      <c r="F60" s="10" t="s">
        <v>427</v>
      </c>
      <c r="G60" s="10" t="s">
        <v>102</v>
      </c>
      <c r="H60" s="10" t="s">
        <v>428</v>
      </c>
      <c r="I60" s="10" t="s">
        <v>429</v>
      </c>
      <c r="J60" s="10" t="s">
        <v>430</v>
      </c>
      <c r="K60" s="10" t="s">
        <v>431</v>
      </c>
      <c r="L60" s="10" t="s">
        <v>68</v>
      </c>
      <c r="M60" s="10" t="s">
        <v>19</v>
      </c>
      <c r="N60" s="10"/>
      <c r="O60" s="10"/>
      <c r="P60" s="10"/>
      <c r="Q60" s="10"/>
      <c r="R60" s="10"/>
    </row>
    <row r="61" customFormat="false" ht="64.15" hidden="false" customHeight="false" outlineLevel="0" collapsed="false">
      <c r="A61" s="9" t="n">
        <v>57</v>
      </c>
      <c r="B61" s="9" t="s">
        <v>432</v>
      </c>
      <c r="C61" s="9" t="s">
        <v>425</v>
      </c>
      <c r="D61" s="9" t="s">
        <v>433</v>
      </c>
      <c r="E61" s="9" t="s">
        <v>71</v>
      </c>
      <c r="F61" s="9" t="s">
        <v>434</v>
      </c>
      <c r="G61" s="9" t="s">
        <v>102</v>
      </c>
      <c r="H61" s="9" t="s">
        <v>428</v>
      </c>
      <c r="I61" s="9" t="s">
        <v>435</v>
      </c>
      <c r="J61" s="9" t="s">
        <v>436</v>
      </c>
      <c r="K61" s="9" t="s">
        <v>437</v>
      </c>
      <c r="L61" s="9" t="s">
        <v>68</v>
      </c>
      <c r="M61" s="9" t="s">
        <v>19</v>
      </c>
      <c r="N61" s="9"/>
      <c r="O61" s="9"/>
      <c r="P61" s="9"/>
      <c r="Q61" s="9"/>
      <c r="R61" s="9"/>
    </row>
    <row r="62" customFormat="false" ht="64.15" hidden="false" customHeight="false" outlineLevel="0" collapsed="false">
      <c r="A62" s="10" t="n">
        <v>58</v>
      </c>
      <c r="B62" s="10" t="s">
        <v>438</v>
      </c>
      <c r="C62" s="10" t="s">
        <v>425</v>
      </c>
      <c r="D62" s="10" t="s">
        <v>439</v>
      </c>
      <c r="E62" s="10" t="s">
        <v>71</v>
      </c>
      <c r="F62" s="10" t="s">
        <v>434</v>
      </c>
      <c r="G62" s="10" t="s">
        <v>102</v>
      </c>
      <c r="H62" s="10" t="s">
        <v>428</v>
      </c>
      <c r="I62" s="10" t="s">
        <v>440</v>
      </c>
      <c r="J62" s="10" t="s">
        <v>441</v>
      </c>
      <c r="K62" s="10" t="s">
        <v>442</v>
      </c>
      <c r="L62" s="10" t="s">
        <v>68</v>
      </c>
      <c r="M62" s="10" t="s">
        <v>19</v>
      </c>
      <c r="N62" s="10"/>
      <c r="O62" s="10"/>
      <c r="P62" s="10"/>
      <c r="Q62" s="10"/>
      <c r="R62" s="10"/>
    </row>
    <row r="63" customFormat="false" ht="64.15" hidden="false" customHeight="false" outlineLevel="0" collapsed="false">
      <c r="A63" s="9" t="n">
        <v>59</v>
      </c>
      <c r="B63" s="9" t="s">
        <v>443</v>
      </c>
      <c r="C63" s="9" t="s">
        <v>425</v>
      </c>
      <c r="D63" s="9" t="s">
        <v>444</v>
      </c>
      <c r="E63" s="9" t="s">
        <v>71</v>
      </c>
      <c r="F63" s="9" t="s">
        <v>129</v>
      </c>
      <c r="G63" s="9" t="s">
        <v>86</v>
      </c>
      <c r="H63" s="9" t="s">
        <v>445</v>
      </c>
      <c r="I63" s="9" t="s">
        <v>446</v>
      </c>
      <c r="J63" s="9" t="s">
        <v>447</v>
      </c>
      <c r="K63" s="9" t="s">
        <v>448</v>
      </c>
      <c r="L63" s="9" t="s">
        <v>68</v>
      </c>
      <c r="M63" s="9" t="s">
        <v>19</v>
      </c>
      <c r="N63" s="9"/>
      <c r="O63" s="9"/>
      <c r="P63" s="9"/>
      <c r="Q63" s="9"/>
      <c r="R63" s="9"/>
    </row>
    <row r="64" customFormat="false" ht="64.15" hidden="false" customHeight="false" outlineLevel="0" collapsed="false">
      <c r="A64" s="10" t="n">
        <v>60</v>
      </c>
      <c r="B64" s="10" t="s">
        <v>449</v>
      </c>
      <c r="C64" s="10" t="s">
        <v>425</v>
      </c>
      <c r="D64" s="10" t="s">
        <v>450</v>
      </c>
      <c r="E64" s="10" t="s">
        <v>61</v>
      </c>
      <c r="F64" s="10" t="s">
        <v>129</v>
      </c>
      <c r="G64" s="10" t="s">
        <v>63</v>
      </c>
      <c r="H64" s="10" t="s">
        <v>451</v>
      </c>
      <c r="I64" s="10" t="s">
        <v>452</v>
      </c>
      <c r="J64" s="10" t="s">
        <v>453</v>
      </c>
      <c r="K64" s="10" t="s">
        <v>454</v>
      </c>
      <c r="L64" s="10" t="s">
        <v>68</v>
      </c>
      <c r="M64" s="10" t="s">
        <v>19</v>
      </c>
      <c r="N64" s="10"/>
      <c r="O64" s="10"/>
      <c r="P64" s="10"/>
      <c r="Q64" s="10"/>
      <c r="R64" s="10"/>
    </row>
    <row r="65" customFormat="false" ht="64.15" hidden="false" customHeight="false" outlineLevel="0" collapsed="false">
      <c r="A65" s="9" t="n">
        <v>61</v>
      </c>
      <c r="B65" s="9" t="s">
        <v>455</v>
      </c>
      <c r="C65" s="9" t="s">
        <v>456</v>
      </c>
      <c r="D65" s="9" t="s">
        <v>457</v>
      </c>
      <c r="E65" s="9" t="s">
        <v>61</v>
      </c>
      <c r="F65" s="9" t="s">
        <v>458</v>
      </c>
      <c r="G65" s="9" t="s">
        <v>102</v>
      </c>
      <c r="H65" s="9" t="s">
        <v>459</v>
      </c>
      <c r="I65" s="9" t="s">
        <v>460</v>
      </c>
      <c r="J65" s="9" t="s">
        <v>461</v>
      </c>
      <c r="K65" s="9" t="s">
        <v>462</v>
      </c>
      <c r="L65" s="9" t="s">
        <v>68</v>
      </c>
      <c r="M65" s="9" t="s">
        <v>19</v>
      </c>
      <c r="N65" s="9"/>
      <c r="O65" s="9"/>
      <c r="P65" s="9"/>
      <c r="Q65" s="9"/>
      <c r="R65" s="9"/>
    </row>
    <row r="66" customFormat="false" ht="64.15" hidden="false" customHeight="false" outlineLevel="0" collapsed="false">
      <c r="A66" s="10" t="n">
        <v>62</v>
      </c>
      <c r="B66" s="10" t="s">
        <v>463</v>
      </c>
      <c r="C66" s="10" t="s">
        <v>456</v>
      </c>
      <c r="D66" s="10" t="s">
        <v>464</v>
      </c>
      <c r="E66" s="10" t="s">
        <v>71</v>
      </c>
      <c r="F66" s="10" t="s">
        <v>458</v>
      </c>
      <c r="G66" s="10" t="s">
        <v>102</v>
      </c>
      <c r="H66" s="10" t="s">
        <v>459</v>
      </c>
      <c r="I66" s="10" t="s">
        <v>465</v>
      </c>
      <c r="J66" s="10" t="s">
        <v>466</v>
      </c>
      <c r="K66" s="10" t="s">
        <v>467</v>
      </c>
      <c r="L66" s="10" t="s">
        <v>68</v>
      </c>
      <c r="M66" s="10" t="s">
        <v>19</v>
      </c>
      <c r="N66" s="10"/>
      <c r="O66" s="10"/>
      <c r="P66" s="10"/>
      <c r="Q66" s="10"/>
      <c r="R66" s="10"/>
    </row>
    <row r="67" customFormat="false" ht="64.15" hidden="false" customHeight="false" outlineLevel="0" collapsed="false">
      <c r="A67" s="9" t="n">
        <v>63</v>
      </c>
      <c r="B67" s="9" t="s">
        <v>468</v>
      </c>
      <c r="C67" s="9" t="s">
        <v>456</v>
      </c>
      <c r="D67" s="9" t="s">
        <v>469</v>
      </c>
      <c r="E67" s="9" t="s">
        <v>61</v>
      </c>
      <c r="F67" s="9" t="s">
        <v>458</v>
      </c>
      <c r="G67" s="9" t="s">
        <v>102</v>
      </c>
      <c r="H67" s="9" t="s">
        <v>459</v>
      </c>
      <c r="I67" s="9" t="s">
        <v>470</v>
      </c>
      <c r="J67" s="9" t="s">
        <v>466</v>
      </c>
      <c r="K67" s="9" t="s">
        <v>471</v>
      </c>
      <c r="L67" s="9" t="s">
        <v>68</v>
      </c>
      <c r="M67" s="9" t="s">
        <v>19</v>
      </c>
      <c r="N67" s="9"/>
      <c r="O67" s="9"/>
      <c r="P67" s="9"/>
      <c r="Q67" s="9"/>
      <c r="R67" s="9"/>
    </row>
    <row r="68" customFormat="false" ht="64.15" hidden="false" customHeight="false" outlineLevel="0" collapsed="false">
      <c r="A68" s="10" t="n">
        <v>64</v>
      </c>
      <c r="B68" s="10" t="s">
        <v>472</v>
      </c>
      <c r="C68" s="10" t="s">
        <v>456</v>
      </c>
      <c r="D68" s="10" t="s">
        <v>473</v>
      </c>
      <c r="E68" s="10" t="s">
        <v>71</v>
      </c>
      <c r="F68" s="10" t="s">
        <v>474</v>
      </c>
      <c r="G68" s="10" t="s">
        <v>102</v>
      </c>
      <c r="H68" s="10" t="s">
        <v>475</v>
      </c>
      <c r="I68" s="10" t="s">
        <v>476</v>
      </c>
      <c r="J68" s="10" t="s">
        <v>477</v>
      </c>
      <c r="K68" s="10" t="s">
        <v>478</v>
      </c>
      <c r="L68" s="10" t="s">
        <v>68</v>
      </c>
      <c r="M68" s="10" t="s">
        <v>19</v>
      </c>
      <c r="N68" s="10"/>
      <c r="O68" s="10"/>
      <c r="P68" s="10"/>
      <c r="Q68" s="10"/>
      <c r="R68" s="10"/>
    </row>
    <row r="69" customFormat="false" ht="64.15" hidden="false" customHeight="false" outlineLevel="0" collapsed="false">
      <c r="A69" s="9" t="n">
        <v>65</v>
      </c>
      <c r="B69" s="9" t="s">
        <v>479</v>
      </c>
      <c r="C69" s="9" t="s">
        <v>456</v>
      </c>
      <c r="D69" s="9" t="s">
        <v>480</v>
      </c>
      <c r="E69" s="9" t="s">
        <v>61</v>
      </c>
      <c r="F69" s="9" t="s">
        <v>481</v>
      </c>
      <c r="G69" s="9" t="s">
        <v>86</v>
      </c>
      <c r="H69" s="9" t="s">
        <v>482</v>
      </c>
      <c r="I69" s="9" t="s">
        <v>483</v>
      </c>
      <c r="J69" s="9" t="s">
        <v>484</v>
      </c>
      <c r="K69" s="9" t="s">
        <v>485</v>
      </c>
      <c r="L69" s="9" t="s">
        <v>68</v>
      </c>
      <c r="M69" s="9" t="s">
        <v>19</v>
      </c>
      <c r="N69" s="9"/>
      <c r="O69" s="9"/>
      <c r="P69" s="9"/>
      <c r="Q69" s="9"/>
      <c r="R69" s="9"/>
    </row>
    <row r="70" customFormat="false" ht="64.15" hidden="false" customHeight="false" outlineLevel="0" collapsed="false">
      <c r="A70" s="10" t="n">
        <v>66</v>
      </c>
      <c r="B70" s="10" t="s">
        <v>486</v>
      </c>
      <c r="C70" s="10" t="s">
        <v>456</v>
      </c>
      <c r="D70" s="10" t="s">
        <v>323</v>
      </c>
      <c r="E70" s="10" t="s">
        <v>71</v>
      </c>
      <c r="F70" s="10" t="s">
        <v>62</v>
      </c>
      <c r="G70" s="10" t="s">
        <v>86</v>
      </c>
      <c r="H70" s="10" t="s">
        <v>487</v>
      </c>
      <c r="I70" s="10" t="s">
        <v>488</v>
      </c>
      <c r="J70" s="10" t="s">
        <v>489</v>
      </c>
      <c r="K70" s="10" t="s">
        <v>490</v>
      </c>
      <c r="L70" s="10" t="s">
        <v>68</v>
      </c>
      <c r="M70" s="10" t="s">
        <v>19</v>
      </c>
      <c r="N70" s="10"/>
      <c r="O70" s="10"/>
      <c r="P70" s="10"/>
      <c r="Q70" s="10"/>
      <c r="R70" s="10"/>
    </row>
    <row r="71" customFormat="false" ht="64.15" hidden="false" customHeight="false" outlineLevel="0" collapsed="false">
      <c r="A71" s="9" t="n">
        <v>67</v>
      </c>
      <c r="B71" s="9" t="s">
        <v>491</v>
      </c>
      <c r="C71" s="9" t="s">
        <v>456</v>
      </c>
      <c r="D71" s="9" t="s">
        <v>492</v>
      </c>
      <c r="E71" s="9" t="s">
        <v>71</v>
      </c>
      <c r="F71" s="9" t="s">
        <v>493</v>
      </c>
      <c r="G71" s="9" t="s">
        <v>86</v>
      </c>
      <c r="H71" s="9" t="s">
        <v>494</v>
      </c>
      <c r="I71" s="9" t="s">
        <v>495</v>
      </c>
      <c r="J71" s="9" t="s">
        <v>496</v>
      </c>
      <c r="K71" s="9" t="s">
        <v>497</v>
      </c>
      <c r="L71" s="9" t="s">
        <v>68</v>
      </c>
      <c r="M71" s="9" t="s">
        <v>19</v>
      </c>
      <c r="N71" s="9"/>
      <c r="O71" s="9"/>
      <c r="P71" s="9"/>
      <c r="Q71" s="9"/>
      <c r="R71" s="9"/>
    </row>
    <row r="72" customFormat="false" ht="64.15" hidden="false" customHeight="false" outlineLevel="0" collapsed="false">
      <c r="A72" s="10" t="n">
        <v>68</v>
      </c>
      <c r="B72" s="10" t="s">
        <v>498</v>
      </c>
      <c r="C72" s="10" t="s">
        <v>456</v>
      </c>
      <c r="D72" s="10" t="s">
        <v>499</v>
      </c>
      <c r="E72" s="10" t="s">
        <v>78</v>
      </c>
      <c r="F72" s="10" t="s">
        <v>500</v>
      </c>
      <c r="G72" s="10" t="s">
        <v>63</v>
      </c>
      <c r="H72" s="10" t="s">
        <v>501</v>
      </c>
      <c r="I72" s="10" t="s">
        <v>502</v>
      </c>
      <c r="J72" s="10" t="s">
        <v>503</v>
      </c>
      <c r="K72" s="10" t="s">
        <v>504</v>
      </c>
      <c r="L72" s="10" t="s">
        <v>68</v>
      </c>
      <c r="M72" s="10" t="s">
        <v>19</v>
      </c>
      <c r="N72" s="10"/>
      <c r="O72" s="10"/>
      <c r="P72" s="10"/>
      <c r="Q72" s="10"/>
      <c r="R72" s="10"/>
    </row>
    <row r="73" customFormat="false" ht="64.15" hidden="false" customHeight="false" outlineLevel="0" collapsed="false">
      <c r="A73" s="9" t="n">
        <v>69</v>
      </c>
      <c r="B73" s="9" t="s">
        <v>505</v>
      </c>
      <c r="C73" s="9" t="s">
        <v>506</v>
      </c>
      <c r="D73" s="9" t="s">
        <v>507</v>
      </c>
      <c r="E73" s="9" t="s">
        <v>71</v>
      </c>
      <c r="F73" s="9" t="s">
        <v>481</v>
      </c>
      <c r="G73" s="9" t="s">
        <v>86</v>
      </c>
      <c r="H73" s="9" t="s">
        <v>508</v>
      </c>
      <c r="I73" s="9" t="s">
        <v>509</v>
      </c>
      <c r="J73" s="9" t="s">
        <v>510</v>
      </c>
      <c r="K73" s="9" t="s">
        <v>511</v>
      </c>
      <c r="L73" s="9" t="s">
        <v>68</v>
      </c>
      <c r="M73" s="9" t="s">
        <v>19</v>
      </c>
      <c r="N73" s="9"/>
      <c r="O73" s="9"/>
      <c r="P73" s="9"/>
      <c r="Q73" s="9"/>
      <c r="R73" s="9"/>
    </row>
    <row r="74" customFormat="false" ht="64.15" hidden="false" customHeight="false" outlineLevel="0" collapsed="false">
      <c r="A74" s="10" t="n">
        <v>70</v>
      </c>
      <c r="B74" s="10" t="s">
        <v>512</v>
      </c>
      <c r="C74" s="10" t="s">
        <v>506</v>
      </c>
      <c r="D74" s="10" t="s">
        <v>513</v>
      </c>
      <c r="E74" s="10" t="s">
        <v>71</v>
      </c>
      <c r="F74" s="10" t="s">
        <v>62</v>
      </c>
      <c r="G74" s="10" t="s">
        <v>86</v>
      </c>
      <c r="H74" s="10" t="s">
        <v>514</v>
      </c>
      <c r="I74" s="10" t="s">
        <v>515</v>
      </c>
      <c r="J74" s="10" t="s">
        <v>516</v>
      </c>
      <c r="K74" s="10" t="s">
        <v>517</v>
      </c>
      <c r="L74" s="10" t="s">
        <v>68</v>
      </c>
      <c r="M74" s="10" t="s">
        <v>19</v>
      </c>
      <c r="N74" s="10"/>
      <c r="O74" s="10"/>
      <c r="P74" s="10"/>
      <c r="Q74" s="10"/>
      <c r="R74" s="10"/>
    </row>
    <row r="75" customFormat="false" ht="64.15" hidden="false" customHeight="false" outlineLevel="0" collapsed="false">
      <c r="A75" s="9" t="n">
        <v>71</v>
      </c>
      <c r="B75" s="9" t="s">
        <v>518</v>
      </c>
      <c r="C75" s="9" t="s">
        <v>506</v>
      </c>
      <c r="D75" s="9" t="s">
        <v>519</v>
      </c>
      <c r="E75" s="9" t="s">
        <v>61</v>
      </c>
      <c r="F75" s="9" t="s">
        <v>324</v>
      </c>
      <c r="G75" s="9" t="s">
        <v>102</v>
      </c>
      <c r="H75" s="9" t="s">
        <v>520</v>
      </c>
      <c r="I75" s="9" t="s">
        <v>521</v>
      </c>
      <c r="J75" s="9" t="s">
        <v>522</v>
      </c>
      <c r="K75" s="9" t="s">
        <v>523</v>
      </c>
      <c r="L75" s="9" t="s">
        <v>68</v>
      </c>
      <c r="M75" s="9" t="s">
        <v>19</v>
      </c>
      <c r="N75" s="9"/>
      <c r="O75" s="9"/>
      <c r="P75" s="9"/>
      <c r="Q75" s="9"/>
      <c r="R75" s="9"/>
    </row>
    <row r="76" customFormat="false" ht="64.15" hidden="false" customHeight="false" outlineLevel="0" collapsed="false">
      <c r="A76" s="10" t="n">
        <v>72</v>
      </c>
      <c r="B76" s="10" t="s">
        <v>524</v>
      </c>
      <c r="C76" s="10" t="s">
        <v>506</v>
      </c>
      <c r="D76" s="10" t="s">
        <v>525</v>
      </c>
      <c r="E76" s="10" t="s">
        <v>71</v>
      </c>
      <c r="F76" s="10" t="s">
        <v>526</v>
      </c>
      <c r="G76" s="10" t="s">
        <v>86</v>
      </c>
      <c r="H76" s="10" t="s">
        <v>527</v>
      </c>
      <c r="I76" s="10" t="s">
        <v>528</v>
      </c>
      <c r="J76" s="10" t="s">
        <v>529</v>
      </c>
      <c r="K76" s="10" t="s">
        <v>530</v>
      </c>
      <c r="L76" s="10" t="s">
        <v>68</v>
      </c>
      <c r="M76" s="10" t="s">
        <v>19</v>
      </c>
      <c r="N76" s="10"/>
      <c r="O76" s="10"/>
      <c r="P76" s="10"/>
      <c r="Q76" s="10"/>
      <c r="R76" s="10"/>
    </row>
    <row r="77" customFormat="false" ht="64.15" hidden="false" customHeight="false" outlineLevel="0" collapsed="false">
      <c r="A77" s="9" t="n">
        <v>73</v>
      </c>
      <c r="B77" s="9" t="s">
        <v>531</v>
      </c>
      <c r="C77" s="9" t="s">
        <v>506</v>
      </c>
      <c r="D77" s="9" t="s">
        <v>532</v>
      </c>
      <c r="E77" s="9" t="s">
        <v>61</v>
      </c>
      <c r="F77" s="9" t="s">
        <v>129</v>
      </c>
      <c r="G77" s="9" t="s">
        <v>63</v>
      </c>
      <c r="H77" s="9" t="s">
        <v>527</v>
      </c>
      <c r="I77" s="9" t="s">
        <v>533</v>
      </c>
      <c r="J77" s="9" t="s">
        <v>534</v>
      </c>
      <c r="K77" s="9" t="s">
        <v>535</v>
      </c>
      <c r="L77" s="9" t="s">
        <v>68</v>
      </c>
      <c r="M77" s="9" t="s">
        <v>19</v>
      </c>
      <c r="N77" s="9"/>
      <c r="O77" s="9"/>
      <c r="P77" s="9"/>
      <c r="Q77" s="9"/>
      <c r="R77" s="9"/>
    </row>
    <row r="78" customFormat="false" ht="64.15" hidden="false" customHeight="false" outlineLevel="0" collapsed="false">
      <c r="A78" s="10" t="n">
        <v>74</v>
      </c>
      <c r="B78" s="10" t="s">
        <v>536</v>
      </c>
      <c r="C78" s="10" t="s">
        <v>456</v>
      </c>
      <c r="D78" s="10" t="s">
        <v>537</v>
      </c>
      <c r="E78" s="10" t="s">
        <v>61</v>
      </c>
      <c r="F78" s="10" t="s">
        <v>538</v>
      </c>
      <c r="G78" s="10" t="s">
        <v>63</v>
      </c>
      <c r="H78" s="10" t="s">
        <v>539</v>
      </c>
      <c r="I78" s="10" t="s">
        <v>540</v>
      </c>
      <c r="J78" s="10" t="s">
        <v>541</v>
      </c>
      <c r="K78" s="10" t="s">
        <v>542</v>
      </c>
      <c r="L78" s="10" t="s">
        <v>68</v>
      </c>
      <c r="M78" s="10" t="s">
        <v>19</v>
      </c>
      <c r="N78" s="10"/>
      <c r="O78" s="10"/>
      <c r="P78" s="10"/>
      <c r="Q78" s="10"/>
      <c r="R78" s="10"/>
    </row>
    <row r="79" customFormat="false" ht="64.15" hidden="false" customHeight="false" outlineLevel="0" collapsed="false">
      <c r="A79" s="9" t="n">
        <v>75</v>
      </c>
      <c r="B79" s="9" t="s">
        <v>543</v>
      </c>
      <c r="C79" s="9" t="s">
        <v>544</v>
      </c>
      <c r="D79" s="9" t="s">
        <v>545</v>
      </c>
      <c r="E79" s="9" t="s">
        <v>71</v>
      </c>
      <c r="F79" s="9" t="s">
        <v>110</v>
      </c>
      <c r="G79" s="9" t="s">
        <v>63</v>
      </c>
      <c r="H79" s="9" t="s">
        <v>546</v>
      </c>
      <c r="I79" s="9" t="s">
        <v>547</v>
      </c>
      <c r="J79" s="9" t="s">
        <v>548</v>
      </c>
      <c r="K79" s="9" t="s">
        <v>549</v>
      </c>
      <c r="L79" s="9" t="s">
        <v>68</v>
      </c>
      <c r="M79" s="9" t="s">
        <v>19</v>
      </c>
      <c r="N79" s="9"/>
      <c r="O79" s="9"/>
      <c r="P79" s="9"/>
      <c r="Q79" s="9"/>
      <c r="R79" s="9"/>
    </row>
    <row r="80" customFormat="false" ht="64.15" hidden="false" customHeight="false" outlineLevel="0" collapsed="false">
      <c r="A80" s="10" t="n">
        <v>76</v>
      </c>
      <c r="B80" s="10" t="s">
        <v>550</v>
      </c>
      <c r="C80" s="10" t="s">
        <v>544</v>
      </c>
      <c r="D80" s="10" t="s">
        <v>551</v>
      </c>
      <c r="E80" s="10" t="s">
        <v>71</v>
      </c>
      <c r="F80" s="10" t="s">
        <v>324</v>
      </c>
      <c r="G80" s="10" t="s">
        <v>86</v>
      </c>
      <c r="H80" s="10" t="s">
        <v>552</v>
      </c>
      <c r="I80" s="10" t="s">
        <v>553</v>
      </c>
      <c r="J80" s="10" t="s">
        <v>554</v>
      </c>
      <c r="K80" s="10" t="s">
        <v>555</v>
      </c>
      <c r="L80" s="10" t="s">
        <v>68</v>
      </c>
      <c r="M80" s="10" t="s">
        <v>19</v>
      </c>
      <c r="N80" s="10"/>
      <c r="O80" s="10"/>
      <c r="P80" s="10"/>
      <c r="Q80" s="10"/>
      <c r="R80" s="10"/>
    </row>
    <row r="81" customFormat="false" ht="64.15" hidden="false" customHeight="false" outlineLevel="0" collapsed="false">
      <c r="A81" s="9" t="n">
        <v>77</v>
      </c>
      <c r="B81" s="9" t="s">
        <v>556</v>
      </c>
      <c r="C81" s="9" t="s">
        <v>544</v>
      </c>
      <c r="D81" s="9" t="s">
        <v>557</v>
      </c>
      <c r="E81" s="9" t="s">
        <v>61</v>
      </c>
      <c r="F81" s="9" t="s">
        <v>62</v>
      </c>
      <c r="G81" s="9" t="s">
        <v>86</v>
      </c>
      <c r="H81" s="9" t="s">
        <v>558</v>
      </c>
      <c r="I81" s="9" t="s">
        <v>559</v>
      </c>
      <c r="J81" s="9" t="s">
        <v>560</v>
      </c>
      <c r="K81" s="9" t="s">
        <v>561</v>
      </c>
      <c r="L81" s="9" t="s">
        <v>68</v>
      </c>
      <c r="M81" s="9" t="s">
        <v>19</v>
      </c>
      <c r="N81" s="9"/>
      <c r="O81" s="9"/>
      <c r="P81" s="9"/>
      <c r="Q81" s="9"/>
      <c r="R81" s="9"/>
    </row>
    <row r="82" customFormat="false" ht="64.15" hidden="false" customHeight="false" outlineLevel="0" collapsed="false">
      <c r="A82" s="10" t="n">
        <v>78</v>
      </c>
      <c r="B82" s="10" t="s">
        <v>562</v>
      </c>
      <c r="C82" s="10" t="s">
        <v>544</v>
      </c>
      <c r="D82" s="10" t="s">
        <v>563</v>
      </c>
      <c r="E82" s="10" t="s">
        <v>78</v>
      </c>
      <c r="F82" s="10" t="s">
        <v>62</v>
      </c>
      <c r="G82" s="10" t="s">
        <v>63</v>
      </c>
      <c r="H82" s="10" t="s">
        <v>558</v>
      </c>
      <c r="I82" s="10" t="s">
        <v>564</v>
      </c>
      <c r="J82" s="10" t="s">
        <v>565</v>
      </c>
      <c r="K82" s="10" t="s">
        <v>566</v>
      </c>
      <c r="L82" s="10" t="s">
        <v>68</v>
      </c>
      <c r="M82" s="10" t="s">
        <v>19</v>
      </c>
      <c r="N82" s="10"/>
      <c r="O82" s="10"/>
      <c r="P82" s="10"/>
      <c r="Q82" s="10"/>
      <c r="R82" s="10"/>
    </row>
    <row r="83" customFormat="false" ht="64.15" hidden="false" customHeight="false" outlineLevel="0" collapsed="false">
      <c r="A83" s="9" t="n">
        <v>79</v>
      </c>
      <c r="B83" s="9" t="s">
        <v>567</v>
      </c>
      <c r="C83" s="9" t="s">
        <v>544</v>
      </c>
      <c r="D83" s="9" t="s">
        <v>568</v>
      </c>
      <c r="E83" s="9" t="s">
        <v>78</v>
      </c>
      <c r="F83" s="9" t="s">
        <v>481</v>
      </c>
      <c r="G83" s="9" t="s">
        <v>86</v>
      </c>
      <c r="H83" s="9" t="s">
        <v>569</v>
      </c>
      <c r="I83" s="9" t="s">
        <v>570</v>
      </c>
      <c r="J83" s="9" t="s">
        <v>571</v>
      </c>
      <c r="K83" s="9" t="s">
        <v>572</v>
      </c>
      <c r="L83" s="9" t="s">
        <v>68</v>
      </c>
      <c r="M83" s="9" t="s">
        <v>19</v>
      </c>
      <c r="N83" s="9"/>
      <c r="O83" s="9"/>
      <c r="P83" s="9"/>
      <c r="Q83" s="9"/>
      <c r="R83" s="9"/>
    </row>
    <row r="84" customFormat="false" ht="64.15" hidden="false" customHeight="false" outlineLevel="0" collapsed="false">
      <c r="A84" s="10" t="n">
        <v>80</v>
      </c>
      <c r="B84" s="10" t="s">
        <v>573</v>
      </c>
      <c r="C84" s="10" t="s">
        <v>544</v>
      </c>
      <c r="D84" s="10" t="s">
        <v>574</v>
      </c>
      <c r="E84" s="10" t="s">
        <v>78</v>
      </c>
      <c r="F84" s="10" t="s">
        <v>110</v>
      </c>
      <c r="G84" s="10" t="s">
        <v>86</v>
      </c>
      <c r="H84" s="10" t="s">
        <v>575</v>
      </c>
      <c r="I84" s="10" t="s">
        <v>576</v>
      </c>
      <c r="J84" s="10" t="s">
        <v>577</v>
      </c>
      <c r="K84" s="10" t="s">
        <v>578</v>
      </c>
      <c r="L84" s="10" t="s">
        <v>68</v>
      </c>
      <c r="M84" s="10" t="s">
        <v>19</v>
      </c>
      <c r="N84" s="10"/>
      <c r="O84" s="10"/>
      <c r="P84" s="10"/>
      <c r="Q84" s="10"/>
      <c r="R84" s="10"/>
    </row>
    <row r="85" customFormat="false" ht="64.15" hidden="false" customHeight="false" outlineLevel="0" collapsed="false">
      <c r="A85" s="9" t="n">
        <v>81</v>
      </c>
      <c r="B85" s="9" t="s">
        <v>579</v>
      </c>
      <c r="C85" s="9" t="s">
        <v>580</v>
      </c>
      <c r="D85" s="9" t="s">
        <v>581</v>
      </c>
      <c r="E85" s="9" t="s">
        <v>71</v>
      </c>
      <c r="F85" s="9" t="s">
        <v>582</v>
      </c>
      <c r="G85" s="9" t="s">
        <v>63</v>
      </c>
      <c r="H85" s="9" t="s">
        <v>583</v>
      </c>
      <c r="I85" s="9" t="s">
        <v>584</v>
      </c>
      <c r="J85" s="9" t="s">
        <v>585</v>
      </c>
      <c r="K85" s="9" t="s">
        <v>586</v>
      </c>
      <c r="L85" s="9" t="s">
        <v>68</v>
      </c>
      <c r="M85" s="9" t="s">
        <v>19</v>
      </c>
      <c r="N85" s="9"/>
      <c r="O85" s="9"/>
      <c r="P85" s="9"/>
      <c r="Q85" s="9"/>
      <c r="R85" s="9"/>
    </row>
    <row r="86" customFormat="false" ht="64.15" hidden="false" customHeight="false" outlineLevel="0" collapsed="false">
      <c r="A86" s="10" t="n">
        <v>82</v>
      </c>
      <c r="B86" s="10" t="s">
        <v>587</v>
      </c>
      <c r="C86" s="10" t="s">
        <v>588</v>
      </c>
      <c r="D86" s="10" t="s">
        <v>589</v>
      </c>
      <c r="E86" s="10" t="s">
        <v>78</v>
      </c>
      <c r="F86" s="10" t="s">
        <v>62</v>
      </c>
      <c r="G86" s="10" t="s">
        <v>63</v>
      </c>
      <c r="H86" s="10" t="s">
        <v>590</v>
      </c>
      <c r="I86" s="10" t="s">
        <v>591</v>
      </c>
      <c r="J86" s="10" t="s">
        <v>592</v>
      </c>
      <c r="K86" s="10" t="s">
        <v>593</v>
      </c>
      <c r="L86" s="10" t="s">
        <v>68</v>
      </c>
      <c r="M86" s="10" t="s">
        <v>19</v>
      </c>
      <c r="N86" s="10"/>
      <c r="O86" s="10"/>
      <c r="P86" s="10"/>
      <c r="Q86" s="10"/>
      <c r="R86" s="10"/>
    </row>
    <row r="87" customFormat="false" ht="64.15" hidden="false" customHeight="false" outlineLevel="0" collapsed="false">
      <c r="A87" s="9" t="n">
        <v>83</v>
      </c>
      <c r="B87" s="9" t="s">
        <v>594</v>
      </c>
      <c r="C87" s="9" t="s">
        <v>595</v>
      </c>
      <c r="D87" s="9" t="s">
        <v>596</v>
      </c>
      <c r="E87" s="9" t="s">
        <v>71</v>
      </c>
      <c r="F87" s="9" t="s">
        <v>62</v>
      </c>
      <c r="G87" s="9" t="s">
        <v>63</v>
      </c>
      <c r="H87" s="9" t="s">
        <v>597</v>
      </c>
      <c r="I87" s="9" t="s">
        <v>598</v>
      </c>
      <c r="J87" s="9" t="s">
        <v>599</v>
      </c>
      <c r="K87" s="9" t="s">
        <v>600</v>
      </c>
      <c r="L87" s="9" t="s">
        <v>68</v>
      </c>
      <c r="M87" s="9" t="s">
        <v>19</v>
      </c>
      <c r="N87" s="9"/>
      <c r="O87" s="9"/>
      <c r="P87" s="9"/>
      <c r="Q87" s="9"/>
      <c r="R87" s="9"/>
    </row>
    <row r="88" customFormat="false" ht="64.15" hidden="false" customHeight="false" outlineLevel="0" collapsed="false">
      <c r="A88" s="10" t="n">
        <v>84</v>
      </c>
      <c r="B88" s="10" t="s">
        <v>601</v>
      </c>
      <c r="C88" s="10" t="s">
        <v>595</v>
      </c>
      <c r="D88" s="10" t="s">
        <v>602</v>
      </c>
      <c r="E88" s="10" t="s">
        <v>78</v>
      </c>
      <c r="F88" s="10" t="s">
        <v>62</v>
      </c>
      <c r="G88" s="10" t="s">
        <v>63</v>
      </c>
      <c r="H88" s="10" t="s">
        <v>603</v>
      </c>
      <c r="I88" s="10" t="s">
        <v>604</v>
      </c>
      <c r="J88" s="10" t="s">
        <v>605</v>
      </c>
      <c r="K88" s="10" t="s">
        <v>606</v>
      </c>
      <c r="L88" s="10" t="s">
        <v>68</v>
      </c>
      <c r="M88" s="10" t="s">
        <v>19</v>
      </c>
      <c r="N88" s="10"/>
      <c r="O88" s="10"/>
      <c r="P88" s="10"/>
      <c r="Q88" s="10"/>
      <c r="R88" s="10"/>
    </row>
    <row r="89" customFormat="false" ht="64.15" hidden="false" customHeight="false" outlineLevel="0" collapsed="false">
      <c r="A89" s="9" t="n">
        <v>85</v>
      </c>
      <c r="B89" s="9" t="s">
        <v>607</v>
      </c>
      <c r="C89" s="9" t="s">
        <v>608</v>
      </c>
      <c r="D89" s="9" t="s">
        <v>609</v>
      </c>
      <c r="E89" s="9" t="s">
        <v>71</v>
      </c>
      <c r="F89" s="9" t="s">
        <v>610</v>
      </c>
      <c r="G89" s="9" t="s">
        <v>63</v>
      </c>
      <c r="H89" s="9" t="s">
        <v>611</v>
      </c>
      <c r="I89" s="9" t="s">
        <v>612</v>
      </c>
      <c r="J89" s="9" t="s">
        <v>613</v>
      </c>
      <c r="K89" s="9" t="s">
        <v>614</v>
      </c>
      <c r="L89" s="9" t="s">
        <v>68</v>
      </c>
      <c r="M89" s="9" t="s">
        <v>19</v>
      </c>
      <c r="N89" s="9"/>
      <c r="O89" s="9"/>
      <c r="P89" s="9"/>
      <c r="Q89" s="9"/>
      <c r="R89" s="9"/>
    </row>
    <row r="90" customFormat="false" ht="64.15" hidden="false" customHeight="false" outlineLevel="0" collapsed="false">
      <c r="A90" s="10" t="n">
        <v>86</v>
      </c>
      <c r="B90" s="10" t="s">
        <v>615</v>
      </c>
      <c r="C90" s="10" t="s">
        <v>608</v>
      </c>
      <c r="D90" s="10" t="s">
        <v>616</v>
      </c>
      <c r="E90" s="10" t="s">
        <v>71</v>
      </c>
      <c r="F90" s="10" t="s">
        <v>610</v>
      </c>
      <c r="G90" s="10" t="s">
        <v>63</v>
      </c>
      <c r="H90" s="10" t="s">
        <v>617</v>
      </c>
      <c r="I90" s="10" t="s">
        <v>618</v>
      </c>
      <c r="J90" s="10" t="s">
        <v>619</v>
      </c>
      <c r="K90" s="10" t="s">
        <v>620</v>
      </c>
      <c r="L90" s="10" t="s">
        <v>68</v>
      </c>
      <c r="M90" s="10" t="s">
        <v>19</v>
      </c>
      <c r="N90" s="10"/>
      <c r="O90" s="10"/>
      <c r="P90" s="10"/>
      <c r="Q90" s="10"/>
      <c r="R90" s="10"/>
    </row>
    <row r="91" customFormat="false" ht="64.15" hidden="false" customHeight="false" outlineLevel="0" collapsed="false">
      <c r="A91" s="9" t="n">
        <v>87</v>
      </c>
      <c r="B91" s="9" t="s">
        <v>621</v>
      </c>
      <c r="C91" s="9" t="s">
        <v>608</v>
      </c>
      <c r="D91" s="9" t="s">
        <v>622</v>
      </c>
      <c r="E91" s="9" t="s">
        <v>71</v>
      </c>
      <c r="F91" s="9" t="s">
        <v>129</v>
      </c>
      <c r="G91" s="9" t="s">
        <v>63</v>
      </c>
      <c r="H91" s="9" t="s">
        <v>623</v>
      </c>
      <c r="I91" s="9" t="s">
        <v>624</v>
      </c>
      <c r="J91" s="9" t="s">
        <v>625</v>
      </c>
      <c r="K91" s="9" t="s">
        <v>626</v>
      </c>
      <c r="L91" s="9" t="s">
        <v>68</v>
      </c>
      <c r="M91" s="9" t="s">
        <v>19</v>
      </c>
      <c r="N91" s="9"/>
      <c r="O91" s="9"/>
      <c r="P91" s="9"/>
      <c r="Q91" s="9"/>
      <c r="R91" s="9"/>
    </row>
    <row r="92" customFormat="false" ht="64.15" hidden="false" customHeight="false" outlineLevel="0" collapsed="false">
      <c r="A92" s="10" t="n">
        <v>88</v>
      </c>
      <c r="B92" s="10" t="s">
        <v>627</v>
      </c>
      <c r="C92" s="10" t="s">
        <v>628</v>
      </c>
      <c r="D92" s="10" t="s">
        <v>629</v>
      </c>
      <c r="E92" s="10" t="s">
        <v>78</v>
      </c>
      <c r="F92" s="10" t="s">
        <v>263</v>
      </c>
      <c r="G92" s="10" t="s">
        <v>63</v>
      </c>
      <c r="H92" s="10" t="s">
        <v>281</v>
      </c>
      <c r="I92" s="10" t="s">
        <v>630</v>
      </c>
      <c r="J92" s="10" t="s">
        <v>631</v>
      </c>
      <c r="K92" s="10" t="s">
        <v>632</v>
      </c>
      <c r="L92" s="10" t="s">
        <v>68</v>
      </c>
      <c r="M92" s="10" t="s">
        <v>19</v>
      </c>
      <c r="N92" s="10"/>
      <c r="O92" s="10"/>
      <c r="P92" s="10"/>
      <c r="Q92" s="10"/>
      <c r="R92" s="10"/>
    </row>
    <row r="93" customFormat="false" ht="64.15" hidden="false" customHeight="false" outlineLevel="0" collapsed="false">
      <c r="A93" s="9" t="n">
        <v>89</v>
      </c>
      <c r="B93" s="9" t="s">
        <v>633</v>
      </c>
      <c r="C93" s="9" t="s">
        <v>634</v>
      </c>
      <c r="D93" s="9" t="s">
        <v>635</v>
      </c>
      <c r="E93" s="9" t="s">
        <v>71</v>
      </c>
      <c r="F93" s="9" t="s">
        <v>610</v>
      </c>
      <c r="G93" s="9" t="s">
        <v>63</v>
      </c>
      <c r="H93" s="9" t="s">
        <v>636</v>
      </c>
      <c r="I93" s="9" t="s">
        <v>637</v>
      </c>
      <c r="J93" s="9" t="s">
        <v>638</v>
      </c>
      <c r="K93" s="9" t="s">
        <v>639</v>
      </c>
      <c r="L93" s="9" t="s">
        <v>68</v>
      </c>
      <c r="M93" s="9" t="s">
        <v>19</v>
      </c>
      <c r="N93" s="9"/>
      <c r="O93" s="9"/>
      <c r="P93" s="9"/>
      <c r="Q93" s="9"/>
      <c r="R93" s="9"/>
    </row>
    <row r="94" customFormat="false" ht="64.15" hidden="false" customHeight="false" outlineLevel="0" collapsed="false">
      <c r="A94" s="10" t="n">
        <v>90</v>
      </c>
      <c r="B94" s="10" t="s">
        <v>640</v>
      </c>
      <c r="C94" s="10" t="s">
        <v>634</v>
      </c>
      <c r="D94" s="10" t="s">
        <v>641</v>
      </c>
      <c r="E94" s="10" t="s">
        <v>78</v>
      </c>
      <c r="F94" s="10" t="s">
        <v>610</v>
      </c>
      <c r="G94" s="10" t="s">
        <v>63</v>
      </c>
      <c r="H94" s="10" t="s">
        <v>642</v>
      </c>
      <c r="I94" s="10" t="s">
        <v>643</v>
      </c>
      <c r="J94" s="10" t="s">
        <v>644</v>
      </c>
      <c r="K94" s="10" t="s">
        <v>645</v>
      </c>
      <c r="L94" s="10" t="s">
        <v>68</v>
      </c>
      <c r="M94" s="10" t="s">
        <v>19</v>
      </c>
      <c r="N94" s="10"/>
      <c r="O94" s="10"/>
      <c r="P94" s="10"/>
      <c r="Q94" s="10"/>
      <c r="R94" s="10"/>
    </row>
    <row r="95" customFormat="false" ht="64.15" hidden="false" customHeight="false" outlineLevel="0" collapsed="false">
      <c r="A95" s="9" t="n">
        <v>91</v>
      </c>
      <c r="B95" s="9" t="s">
        <v>646</v>
      </c>
      <c r="C95" s="9" t="s">
        <v>634</v>
      </c>
      <c r="D95" s="9" t="s">
        <v>647</v>
      </c>
      <c r="E95" s="9" t="s">
        <v>71</v>
      </c>
      <c r="F95" s="9" t="s">
        <v>129</v>
      </c>
      <c r="G95" s="9" t="s">
        <v>63</v>
      </c>
      <c r="H95" s="9" t="s">
        <v>648</v>
      </c>
      <c r="I95" s="9" t="s">
        <v>649</v>
      </c>
      <c r="J95" s="9" t="s">
        <v>650</v>
      </c>
      <c r="K95" s="9" t="s">
        <v>651</v>
      </c>
      <c r="L95" s="9" t="s">
        <v>68</v>
      </c>
      <c r="M95" s="9" t="s">
        <v>19</v>
      </c>
      <c r="N95" s="9"/>
      <c r="O95" s="9"/>
      <c r="P95" s="9"/>
      <c r="Q95" s="9"/>
      <c r="R95" s="9"/>
    </row>
    <row r="96" customFormat="false" ht="64.15" hidden="false" customHeight="false" outlineLevel="0" collapsed="false">
      <c r="A96" s="10" t="n">
        <v>92</v>
      </c>
      <c r="B96" s="10" t="s">
        <v>652</v>
      </c>
      <c r="C96" s="10" t="s">
        <v>653</v>
      </c>
      <c r="D96" s="10" t="s">
        <v>654</v>
      </c>
      <c r="E96" s="10" t="s">
        <v>78</v>
      </c>
      <c r="F96" s="10" t="s">
        <v>110</v>
      </c>
      <c r="G96" s="10" t="s">
        <v>63</v>
      </c>
      <c r="H96" s="10" t="s">
        <v>655</v>
      </c>
      <c r="I96" s="10" t="s">
        <v>656</v>
      </c>
      <c r="J96" s="10" t="s">
        <v>657</v>
      </c>
      <c r="K96" s="10" t="s">
        <v>658</v>
      </c>
      <c r="L96" s="10" t="s">
        <v>68</v>
      </c>
      <c r="M96" s="10" t="s">
        <v>19</v>
      </c>
      <c r="N96" s="10"/>
      <c r="O96" s="10"/>
      <c r="P96" s="10"/>
      <c r="Q96" s="10"/>
      <c r="R96" s="10"/>
    </row>
    <row r="97" customFormat="false" ht="64.15" hidden="false" customHeight="false" outlineLevel="0" collapsed="false">
      <c r="A97" s="9" t="n">
        <v>93</v>
      </c>
      <c r="B97" s="9" t="s">
        <v>659</v>
      </c>
      <c r="C97" s="9" t="s">
        <v>653</v>
      </c>
      <c r="D97" s="9" t="s">
        <v>660</v>
      </c>
      <c r="E97" s="9" t="s">
        <v>78</v>
      </c>
      <c r="F97" s="9" t="s">
        <v>661</v>
      </c>
      <c r="G97" s="9" t="s">
        <v>63</v>
      </c>
      <c r="H97" s="9" t="s">
        <v>662</v>
      </c>
      <c r="I97" s="9" t="s">
        <v>663</v>
      </c>
      <c r="J97" s="9" t="s">
        <v>664</v>
      </c>
      <c r="K97" s="9" t="s">
        <v>665</v>
      </c>
      <c r="L97" s="9" t="s">
        <v>68</v>
      </c>
      <c r="M97" s="9" t="s">
        <v>19</v>
      </c>
      <c r="N97" s="9"/>
      <c r="O97" s="9"/>
      <c r="P97" s="9"/>
      <c r="Q97" s="9"/>
      <c r="R97" s="9"/>
    </row>
    <row r="98" customFormat="false" ht="64.15" hidden="false" customHeight="false" outlineLevel="0" collapsed="false">
      <c r="A98" s="10" t="n">
        <v>94</v>
      </c>
      <c r="B98" s="10" t="s">
        <v>666</v>
      </c>
      <c r="C98" s="10" t="s">
        <v>667</v>
      </c>
      <c r="D98" s="10" t="s">
        <v>668</v>
      </c>
      <c r="E98" s="10" t="s">
        <v>61</v>
      </c>
      <c r="F98" s="10" t="s">
        <v>669</v>
      </c>
      <c r="G98" s="10" t="s">
        <v>102</v>
      </c>
      <c r="H98" s="10" t="s">
        <v>670</v>
      </c>
      <c r="I98" s="10" t="s">
        <v>671</v>
      </c>
      <c r="J98" s="10" t="s">
        <v>672</v>
      </c>
      <c r="K98" s="10" t="s">
        <v>673</v>
      </c>
      <c r="L98" s="10" t="s">
        <v>68</v>
      </c>
      <c r="M98" s="10" t="s">
        <v>19</v>
      </c>
      <c r="N98" s="10"/>
      <c r="O98" s="10"/>
      <c r="P98" s="10"/>
      <c r="Q98" s="10"/>
      <c r="R98" s="10"/>
    </row>
    <row r="99" customFormat="false" ht="64.15" hidden="false" customHeight="false" outlineLevel="0" collapsed="false">
      <c r="A99" s="9" t="n">
        <v>95</v>
      </c>
      <c r="B99" s="9" t="s">
        <v>674</v>
      </c>
      <c r="C99" s="9" t="s">
        <v>667</v>
      </c>
      <c r="D99" s="9" t="s">
        <v>675</v>
      </c>
      <c r="E99" s="9" t="s">
        <v>71</v>
      </c>
      <c r="F99" s="9" t="s">
        <v>434</v>
      </c>
      <c r="G99" s="9" t="s">
        <v>102</v>
      </c>
      <c r="H99" s="9" t="s">
        <v>676</v>
      </c>
      <c r="I99" s="9" t="s">
        <v>677</v>
      </c>
      <c r="J99" s="9" t="s">
        <v>678</v>
      </c>
      <c r="K99" s="9" t="s">
        <v>679</v>
      </c>
      <c r="L99" s="9" t="s">
        <v>68</v>
      </c>
      <c r="M99" s="9" t="s">
        <v>19</v>
      </c>
      <c r="N99" s="9"/>
      <c r="O99" s="9"/>
      <c r="P99" s="9"/>
      <c r="Q99" s="9"/>
      <c r="R99" s="9"/>
    </row>
    <row r="100" customFormat="false" ht="64.15" hidden="false" customHeight="false" outlineLevel="0" collapsed="false">
      <c r="A100" s="10" t="n">
        <v>96</v>
      </c>
      <c r="B100" s="10" t="s">
        <v>680</v>
      </c>
      <c r="C100" s="10" t="s">
        <v>667</v>
      </c>
      <c r="D100" s="10" t="s">
        <v>681</v>
      </c>
      <c r="E100" s="10" t="s">
        <v>61</v>
      </c>
      <c r="F100" s="10" t="s">
        <v>682</v>
      </c>
      <c r="G100" s="10" t="s">
        <v>63</v>
      </c>
      <c r="H100" s="10" t="s">
        <v>683</v>
      </c>
      <c r="I100" s="10" t="s">
        <v>684</v>
      </c>
      <c r="J100" s="10" t="s">
        <v>685</v>
      </c>
      <c r="K100" s="10" t="s">
        <v>686</v>
      </c>
      <c r="L100" s="10" t="s">
        <v>68</v>
      </c>
      <c r="M100" s="10" t="s">
        <v>19</v>
      </c>
      <c r="N100" s="10"/>
      <c r="O100" s="10"/>
      <c r="P100" s="10"/>
      <c r="Q100" s="10"/>
      <c r="R100" s="10"/>
    </row>
    <row r="101" customFormat="false" ht="64.15" hidden="false" customHeight="false" outlineLevel="0" collapsed="false">
      <c r="A101" s="9" t="n">
        <v>97</v>
      </c>
      <c r="B101" s="9" t="s">
        <v>687</v>
      </c>
      <c r="C101" s="9" t="s">
        <v>688</v>
      </c>
      <c r="D101" s="9" t="s">
        <v>689</v>
      </c>
      <c r="E101" s="9" t="s">
        <v>78</v>
      </c>
      <c r="F101" s="9" t="s">
        <v>427</v>
      </c>
      <c r="G101" s="9" t="s">
        <v>102</v>
      </c>
      <c r="H101" s="9" t="s">
        <v>690</v>
      </c>
      <c r="I101" s="9" t="s">
        <v>691</v>
      </c>
      <c r="J101" s="9" t="s">
        <v>692</v>
      </c>
      <c r="K101" s="9" t="s">
        <v>693</v>
      </c>
      <c r="L101" s="9" t="s">
        <v>68</v>
      </c>
      <c r="M101" s="9" t="s">
        <v>19</v>
      </c>
      <c r="N101" s="9"/>
      <c r="O101" s="9"/>
      <c r="P101" s="9"/>
      <c r="Q101" s="9"/>
      <c r="R101" s="9"/>
    </row>
    <row r="102" customFormat="false" ht="64.15" hidden="false" customHeight="false" outlineLevel="0" collapsed="false">
      <c r="A102" s="10" t="n">
        <v>98</v>
      </c>
      <c r="B102" s="10" t="s">
        <v>694</v>
      </c>
      <c r="C102" s="10" t="s">
        <v>695</v>
      </c>
      <c r="D102" s="10" t="s">
        <v>696</v>
      </c>
      <c r="E102" s="10" t="s">
        <v>71</v>
      </c>
      <c r="F102" s="10" t="s">
        <v>697</v>
      </c>
      <c r="G102" s="10" t="s">
        <v>102</v>
      </c>
      <c r="H102" s="10" t="s">
        <v>698</v>
      </c>
      <c r="I102" s="10" t="s">
        <v>699</v>
      </c>
      <c r="J102" s="10" t="s">
        <v>700</v>
      </c>
      <c r="K102" s="10" t="s">
        <v>701</v>
      </c>
      <c r="L102" s="10" t="s">
        <v>68</v>
      </c>
      <c r="M102" s="10" t="s">
        <v>19</v>
      </c>
      <c r="N102" s="10"/>
      <c r="O102" s="10"/>
      <c r="P102" s="10"/>
      <c r="Q102" s="10"/>
      <c r="R102" s="10"/>
    </row>
    <row r="103" customFormat="false" ht="64.15" hidden="false" customHeight="false" outlineLevel="0" collapsed="false">
      <c r="A103" s="9" t="n">
        <v>99</v>
      </c>
      <c r="B103" s="9" t="s">
        <v>702</v>
      </c>
      <c r="C103" s="9" t="s">
        <v>703</v>
      </c>
      <c r="D103" s="9" t="s">
        <v>704</v>
      </c>
      <c r="E103" s="9" t="s">
        <v>61</v>
      </c>
      <c r="F103" s="9" t="s">
        <v>705</v>
      </c>
      <c r="G103" s="9" t="s">
        <v>86</v>
      </c>
      <c r="H103" s="9" t="s">
        <v>706</v>
      </c>
      <c r="I103" s="9" t="s">
        <v>707</v>
      </c>
      <c r="J103" s="9" t="s">
        <v>708</v>
      </c>
      <c r="K103" s="9" t="s">
        <v>709</v>
      </c>
      <c r="L103" s="9" t="s">
        <v>68</v>
      </c>
      <c r="M103" s="9" t="s">
        <v>19</v>
      </c>
      <c r="N103" s="9"/>
      <c r="O103" s="9"/>
      <c r="P103" s="9"/>
      <c r="Q103" s="9"/>
      <c r="R103" s="9"/>
    </row>
    <row r="104" customFormat="false" ht="64.15" hidden="false" customHeight="false" outlineLevel="0" collapsed="false">
      <c r="A104" s="10" t="n">
        <v>100</v>
      </c>
      <c r="B104" s="10" t="s">
        <v>710</v>
      </c>
      <c r="C104" s="10" t="s">
        <v>703</v>
      </c>
      <c r="D104" s="10" t="s">
        <v>711</v>
      </c>
      <c r="E104" s="10" t="s">
        <v>61</v>
      </c>
      <c r="F104" s="10" t="s">
        <v>427</v>
      </c>
      <c r="G104" s="10" t="s">
        <v>102</v>
      </c>
      <c r="H104" s="10" t="s">
        <v>712</v>
      </c>
      <c r="I104" s="10" t="s">
        <v>713</v>
      </c>
      <c r="J104" s="10" t="s">
        <v>714</v>
      </c>
      <c r="K104" s="10" t="s">
        <v>715</v>
      </c>
      <c r="L104" s="10" t="s">
        <v>68</v>
      </c>
      <c r="M104" s="10" t="s">
        <v>19</v>
      </c>
      <c r="N104" s="10"/>
      <c r="O104" s="10"/>
      <c r="P104" s="10"/>
      <c r="Q104" s="10"/>
      <c r="R104" s="10"/>
    </row>
    <row r="105" customFormat="false" ht="64.15" hidden="false" customHeight="false" outlineLevel="0" collapsed="false">
      <c r="A105" s="9" t="n">
        <v>101</v>
      </c>
      <c r="B105" s="9" t="s">
        <v>716</v>
      </c>
      <c r="C105" s="9" t="s">
        <v>703</v>
      </c>
      <c r="D105" s="9" t="s">
        <v>717</v>
      </c>
      <c r="E105" s="9" t="s">
        <v>61</v>
      </c>
      <c r="F105" s="9" t="s">
        <v>718</v>
      </c>
      <c r="G105" s="9" t="s">
        <v>63</v>
      </c>
      <c r="H105" s="9" t="s">
        <v>719</v>
      </c>
      <c r="I105" s="9" t="s">
        <v>720</v>
      </c>
      <c r="J105" s="9" t="s">
        <v>721</v>
      </c>
      <c r="K105" s="9" t="s">
        <v>722</v>
      </c>
      <c r="L105" s="9" t="s">
        <v>68</v>
      </c>
      <c r="M105" s="9" t="s">
        <v>19</v>
      </c>
      <c r="N105" s="9"/>
      <c r="O105" s="9"/>
      <c r="P105" s="9"/>
      <c r="Q105" s="9"/>
      <c r="R105" s="9"/>
    </row>
    <row r="106" customFormat="false" ht="64.15" hidden="false" customHeight="false" outlineLevel="0" collapsed="false">
      <c r="A106" s="10" t="n">
        <v>102</v>
      </c>
      <c r="B106" s="10" t="s">
        <v>723</v>
      </c>
      <c r="C106" s="10" t="s">
        <v>703</v>
      </c>
      <c r="D106" s="10" t="s">
        <v>724</v>
      </c>
      <c r="E106" s="10" t="s">
        <v>61</v>
      </c>
      <c r="F106" s="10" t="s">
        <v>725</v>
      </c>
      <c r="G106" s="10" t="s">
        <v>63</v>
      </c>
      <c r="H106" s="10" t="s">
        <v>726</v>
      </c>
      <c r="I106" s="10" t="s">
        <v>727</v>
      </c>
      <c r="J106" s="10" t="s">
        <v>728</v>
      </c>
      <c r="K106" s="10" t="s">
        <v>729</v>
      </c>
      <c r="L106" s="10" t="s">
        <v>68</v>
      </c>
      <c r="M106" s="10" t="s">
        <v>19</v>
      </c>
      <c r="N106" s="10"/>
      <c r="O106" s="10"/>
      <c r="P106" s="10"/>
      <c r="Q106" s="10"/>
      <c r="R106" s="10"/>
    </row>
    <row r="107" customFormat="false" ht="64.15" hidden="false" customHeight="false" outlineLevel="0" collapsed="false">
      <c r="A107" s="9" t="n">
        <v>103</v>
      </c>
      <c r="B107" s="9" t="s">
        <v>730</v>
      </c>
      <c r="C107" s="9" t="s">
        <v>703</v>
      </c>
      <c r="D107" s="9" t="s">
        <v>731</v>
      </c>
      <c r="E107" s="9" t="s">
        <v>61</v>
      </c>
      <c r="F107" s="9" t="s">
        <v>732</v>
      </c>
      <c r="G107" s="9" t="s">
        <v>63</v>
      </c>
      <c r="H107" s="9" t="s">
        <v>733</v>
      </c>
      <c r="I107" s="9" t="s">
        <v>734</v>
      </c>
      <c r="J107" s="9" t="s">
        <v>735</v>
      </c>
      <c r="K107" s="9" t="s">
        <v>736</v>
      </c>
      <c r="L107" s="9" t="s">
        <v>68</v>
      </c>
      <c r="M107" s="9" t="s">
        <v>19</v>
      </c>
      <c r="N107" s="9"/>
      <c r="O107" s="9"/>
      <c r="P107" s="9"/>
      <c r="Q107" s="9"/>
      <c r="R107" s="9"/>
    </row>
    <row r="108" customFormat="false" ht="64.15" hidden="false" customHeight="false" outlineLevel="0" collapsed="false">
      <c r="A108" s="10" t="n">
        <v>104</v>
      </c>
      <c r="B108" s="10" t="s">
        <v>737</v>
      </c>
      <c r="C108" s="10" t="s">
        <v>703</v>
      </c>
      <c r="D108" s="10" t="s">
        <v>738</v>
      </c>
      <c r="E108" s="10" t="s">
        <v>71</v>
      </c>
      <c r="F108" s="10" t="s">
        <v>129</v>
      </c>
      <c r="G108" s="10" t="s">
        <v>63</v>
      </c>
      <c r="H108" s="10" t="s">
        <v>739</v>
      </c>
      <c r="I108" s="10" t="s">
        <v>647</v>
      </c>
      <c r="J108" s="10" t="s">
        <v>740</v>
      </c>
      <c r="K108" s="10" t="s">
        <v>741</v>
      </c>
      <c r="L108" s="10" t="s">
        <v>68</v>
      </c>
      <c r="M108" s="10" t="s">
        <v>19</v>
      </c>
      <c r="N108" s="10"/>
      <c r="O108" s="10"/>
      <c r="P108" s="10"/>
      <c r="Q108" s="10"/>
      <c r="R108" s="10"/>
    </row>
    <row r="109" customFormat="false" ht="64.15" hidden="false" customHeight="false" outlineLevel="0" collapsed="false">
      <c r="A109" s="9" t="n">
        <v>105</v>
      </c>
      <c r="B109" s="9" t="s">
        <v>742</v>
      </c>
      <c r="C109" s="9" t="s">
        <v>703</v>
      </c>
      <c r="D109" s="9" t="s">
        <v>743</v>
      </c>
      <c r="E109" s="9" t="s">
        <v>71</v>
      </c>
      <c r="F109" s="9" t="s">
        <v>93</v>
      </c>
      <c r="G109" s="9" t="s">
        <v>63</v>
      </c>
      <c r="H109" s="9" t="s">
        <v>744</v>
      </c>
      <c r="I109" s="9" t="s">
        <v>745</v>
      </c>
      <c r="J109" s="9" t="s">
        <v>746</v>
      </c>
      <c r="K109" s="9" t="s">
        <v>747</v>
      </c>
      <c r="L109" s="9" t="s">
        <v>68</v>
      </c>
      <c r="M109" s="9" t="s">
        <v>19</v>
      </c>
      <c r="N109" s="9"/>
      <c r="O109" s="9"/>
      <c r="P109" s="9"/>
      <c r="Q109" s="9"/>
      <c r="R109" s="9"/>
    </row>
    <row r="110" customFormat="false" ht="64.15" hidden="false" customHeight="false" outlineLevel="0" collapsed="false">
      <c r="A110" s="10" t="n">
        <v>106</v>
      </c>
      <c r="B110" s="10" t="s">
        <v>748</v>
      </c>
      <c r="C110" s="10" t="s">
        <v>703</v>
      </c>
      <c r="D110" s="10" t="s">
        <v>749</v>
      </c>
      <c r="E110" s="10" t="s">
        <v>61</v>
      </c>
      <c r="F110" s="10" t="s">
        <v>705</v>
      </c>
      <c r="G110" s="10" t="s">
        <v>63</v>
      </c>
      <c r="H110" s="10" t="s">
        <v>750</v>
      </c>
      <c r="I110" s="10" t="s">
        <v>751</v>
      </c>
      <c r="J110" s="10" t="s">
        <v>752</v>
      </c>
      <c r="K110" s="10" t="s">
        <v>753</v>
      </c>
      <c r="L110" s="10" t="s">
        <v>68</v>
      </c>
      <c r="M110" s="10" t="s">
        <v>19</v>
      </c>
      <c r="N110" s="10"/>
      <c r="O110" s="10"/>
      <c r="P110" s="10"/>
      <c r="Q110" s="10"/>
      <c r="R110" s="10"/>
    </row>
    <row r="111" customFormat="false" ht="64.15" hidden="false" customHeight="false" outlineLevel="0" collapsed="false">
      <c r="A111" s="9" t="n">
        <v>107</v>
      </c>
      <c r="B111" s="9" t="s">
        <v>754</v>
      </c>
      <c r="C111" s="9" t="s">
        <v>703</v>
      </c>
      <c r="D111" s="9" t="s">
        <v>755</v>
      </c>
      <c r="E111" s="9" t="s">
        <v>61</v>
      </c>
      <c r="F111" s="9" t="s">
        <v>610</v>
      </c>
      <c r="G111" s="9" t="s">
        <v>63</v>
      </c>
      <c r="H111" s="9" t="s">
        <v>756</v>
      </c>
      <c r="I111" s="9" t="s">
        <v>757</v>
      </c>
      <c r="J111" s="9" t="s">
        <v>758</v>
      </c>
      <c r="K111" s="9" t="s">
        <v>759</v>
      </c>
      <c r="L111" s="9" t="s">
        <v>68</v>
      </c>
      <c r="M111" s="9" t="s">
        <v>19</v>
      </c>
      <c r="N111" s="9"/>
      <c r="O111" s="9"/>
      <c r="P111" s="9"/>
      <c r="Q111" s="9"/>
      <c r="R111" s="9"/>
    </row>
    <row r="112" customFormat="false" ht="64.15" hidden="false" customHeight="false" outlineLevel="0" collapsed="false">
      <c r="A112" s="10" t="n">
        <v>108</v>
      </c>
      <c r="B112" s="10" t="s">
        <v>760</v>
      </c>
      <c r="C112" s="10" t="s">
        <v>703</v>
      </c>
      <c r="D112" s="10" t="s">
        <v>761</v>
      </c>
      <c r="E112" s="10" t="s">
        <v>71</v>
      </c>
      <c r="F112" s="10" t="s">
        <v>129</v>
      </c>
      <c r="G112" s="10" t="s">
        <v>63</v>
      </c>
      <c r="H112" s="10" t="s">
        <v>762</v>
      </c>
      <c r="I112" s="10" t="s">
        <v>763</v>
      </c>
      <c r="J112" s="10" t="s">
        <v>764</v>
      </c>
      <c r="K112" s="10" t="s">
        <v>765</v>
      </c>
      <c r="L112" s="10" t="s">
        <v>68</v>
      </c>
      <c r="M112" s="10" t="s">
        <v>19</v>
      </c>
      <c r="N112" s="10"/>
      <c r="O112" s="10"/>
      <c r="P112" s="10"/>
      <c r="Q112" s="10"/>
      <c r="R112" s="10"/>
    </row>
    <row r="113" customFormat="false" ht="64.15" hidden="false" customHeight="false" outlineLevel="0" collapsed="false">
      <c r="A113" s="9" t="n">
        <v>109</v>
      </c>
      <c r="B113" s="9" t="s">
        <v>766</v>
      </c>
      <c r="C113" s="9" t="s">
        <v>703</v>
      </c>
      <c r="D113" s="9" t="s">
        <v>767</v>
      </c>
      <c r="E113" s="9" t="s">
        <v>78</v>
      </c>
      <c r="F113" s="9" t="s">
        <v>768</v>
      </c>
      <c r="G113" s="9" t="s">
        <v>86</v>
      </c>
      <c r="H113" s="9" t="s">
        <v>769</v>
      </c>
      <c r="I113" s="9" t="s">
        <v>770</v>
      </c>
      <c r="J113" s="9" t="s">
        <v>771</v>
      </c>
      <c r="K113" s="9" t="s">
        <v>772</v>
      </c>
      <c r="L113" s="9" t="s">
        <v>68</v>
      </c>
      <c r="M113" s="9" t="s">
        <v>19</v>
      </c>
      <c r="N113" s="9"/>
      <c r="O113" s="9"/>
      <c r="P113" s="9"/>
      <c r="Q113" s="9"/>
      <c r="R113" s="9"/>
    </row>
    <row r="114" customFormat="false" ht="64.15" hidden="false" customHeight="false" outlineLevel="0" collapsed="false">
      <c r="A114" s="10" t="n">
        <v>110</v>
      </c>
      <c r="B114" s="10" t="s">
        <v>773</v>
      </c>
      <c r="C114" s="10" t="s">
        <v>703</v>
      </c>
      <c r="D114" s="10" t="s">
        <v>774</v>
      </c>
      <c r="E114" s="10" t="s">
        <v>78</v>
      </c>
      <c r="F114" s="10" t="s">
        <v>775</v>
      </c>
      <c r="G114" s="10" t="s">
        <v>102</v>
      </c>
      <c r="H114" s="10" t="s">
        <v>776</v>
      </c>
      <c r="I114" s="10" t="s">
        <v>777</v>
      </c>
      <c r="J114" s="10" t="s">
        <v>778</v>
      </c>
      <c r="K114" s="10" t="s">
        <v>779</v>
      </c>
      <c r="L114" s="10" t="s">
        <v>68</v>
      </c>
      <c r="M114" s="10" t="s">
        <v>19</v>
      </c>
      <c r="N114" s="10"/>
      <c r="O114" s="10"/>
      <c r="P114" s="10"/>
      <c r="Q114" s="10"/>
      <c r="R114" s="10"/>
    </row>
    <row r="115" customFormat="false" ht="64.15" hidden="false" customHeight="false" outlineLevel="0" collapsed="false">
      <c r="A115" s="9" t="n">
        <v>111</v>
      </c>
      <c r="B115" s="9" t="s">
        <v>780</v>
      </c>
      <c r="C115" s="9" t="s">
        <v>703</v>
      </c>
      <c r="D115" s="9" t="s">
        <v>781</v>
      </c>
      <c r="E115" s="9" t="s">
        <v>71</v>
      </c>
      <c r="F115" s="9" t="s">
        <v>782</v>
      </c>
      <c r="G115" s="9" t="s">
        <v>102</v>
      </c>
      <c r="H115" s="9" t="s">
        <v>783</v>
      </c>
      <c r="I115" s="9" t="s">
        <v>784</v>
      </c>
      <c r="J115" s="9" t="s">
        <v>785</v>
      </c>
      <c r="K115" s="9" t="s">
        <v>786</v>
      </c>
      <c r="L115" s="9" t="s">
        <v>68</v>
      </c>
      <c r="M115" s="9" t="s">
        <v>19</v>
      </c>
      <c r="N115" s="9"/>
      <c r="O115" s="9"/>
      <c r="P115" s="9"/>
      <c r="Q115" s="9"/>
      <c r="R115" s="9"/>
    </row>
    <row r="116" customFormat="false" ht="64.15" hidden="false" customHeight="false" outlineLevel="0" collapsed="false">
      <c r="A116" s="10" t="n">
        <v>112</v>
      </c>
      <c r="B116" s="10" t="s">
        <v>787</v>
      </c>
      <c r="C116" s="10" t="s">
        <v>703</v>
      </c>
      <c r="D116" s="10" t="s">
        <v>788</v>
      </c>
      <c r="E116" s="10" t="s">
        <v>71</v>
      </c>
      <c r="F116" s="10" t="s">
        <v>789</v>
      </c>
      <c r="G116" s="10" t="s">
        <v>63</v>
      </c>
      <c r="H116" s="10" t="s">
        <v>790</v>
      </c>
      <c r="I116" s="10" t="s">
        <v>791</v>
      </c>
      <c r="J116" s="10" t="s">
        <v>792</v>
      </c>
      <c r="K116" s="10" t="s">
        <v>793</v>
      </c>
      <c r="L116" s="10" t="s">
        <v>68</v>
      </c>
      <c r="M116" s="10" t="s">
        <v>19</v>
      </c>
      <c r="N116" s="10"/>
      <c r="O116" s="10"/>
      <c r="P116" s="10"/>
      <c r="Q116" s="10"/>
      <c r="R116" s="10"/>
    </row>
    <row r="117" customFormat="false" ht="64.15" hidden="false" customHeight="false" outlineLevel="0" collapsed="false">
      <c r="A117" s="9" t="n">
        <v>113</v>
      </c>
      <c r="B117" s="9" t="s">
        <v>794</v>
      </c>
      <c r="C117" s="9" t="s">
        <v>703</v>
      </c>
      <c r="D117" s="9" t="s">
        <v>795</v>
      </c>
      <c r="E117" s="9" t="s">
        <v>61</v>
      </c>
      <c r="F117" s="9" t="s">
        <v>406</v>
      </c>
      <c r="G117" s="9" t="s">
        <v>63</v>
      </c>
      <c r="H117" s="9" t="s">
        <v>796</v>
      </c>
      <c r="I117" s="9" t="s">
        <v>797</v>
      </c>
      <c r="J117" s="9" t="s">
        <v>798</v>
      </c>
      <c r="K117" s="9" t="s">
        <v>799</v>
      </c>
      <c r="L117" s="9" t="s">
        <v>68</v>
      </c>
      <c r="M117" s="9" t="s">
        <v>19</v>
      </c>
      <c r="N117" s="9"/>
      <c r="O117" s="9"/>
      <c r="P117" s="9"/>
      <c r="Q117" s="9"/>
      <c r="R117" s="9"/>
    </row>
    <row r="118" customFormat="false" ht="64.15" hidden="false" customHeight="false" outlineLevel="0" collapsed="false">
      <c r="A118" s="10" t="n">
        <v>114</v>
      </c>
      <c r="B118" s="10" t="s">
        <v>800</v>
      </c>
      <c r="C118" s="10" t="s">
        <v>801</v>
      </c>
      <c r="D118" s="10" t="s">
        <v>802</v>
      </c>
      <c r="E118" s="10" t="s">
        <v>71</v>
      </c>
      <c r="F118" s="10" t="s">
        <v>110</v>
      </c>
      <c r="G118" s="10" t="s">
        <v>63</v>
      </c>
      <c r="H118" s="10" t="s">
        <v>803</v>
      </c>
      <c r="I118" s="10" t="s">
        <v>804</v>
      </c>
      <c r="J118" s="10" t="s">
        <v>805</v>
      </c>
      <c r="K118" s="10" t="s">
        <v>806</v>
      </c>
      <c r="L118" s="10" t="s">
        <v>68</v>
      </c>
      <c r="M118" s="10" t="s">
        <v>19</v>
      </c>
      <c r="N118" s="10"/>
      <c r="O118" s="10"/>
      <c r="P118" s="10"/>
      <c r="Q118" s="10"/>
      <c r="R118" s="10"/>
    </row>
    <row r="119" customFormat="false" ht="64.15" hidden="false" customHeight="false" outlineLevel="0" collapsed="false">
      <c r="A119" s="9" t="n">
        <v>115</v>
      </c>
      <c r="B119" s="9" t="s">
        <v>807</v>
      </c>
      <c r="C119" s="9" t="s">
        <v>801</v>
      </c>
      <c r="D119" s="9" t="s">
        <v>808</v>
      </c>
      <c r="E119" s="9" t="s">
        <v>71</v>
      </c>
      <c r="F119" s="9" t="s">
        <v>809</v>
      </c>
      <c r="G119" s="9" t="s">
        <v>86</v>
      </c>
      <c r="H119" s="9" t="s">
        <v>810</v>
      </c>
      <c r="I119" s="9" t="s">
        <v>811</v>
      </c>
      <c r="J119" s="9" t="s">
        <v>812</v>
      </c>
      <c r="K119" s="9" t="s">
        <v>813</v>
      </c>
      <c r="L119" s="9" t="s">
        <v>68</v>
      </c>
      <c r="M119" s="9" t="s">
        <v>19</v>
      </c>
      <c r="N119" s="9"/>
      <c r="O119" s="9"/>
      <c r="P119" s="9"/>
      <c r="Q119" s="9"/>
      <c r="R119" s="9"/>
    </row>
    <row r="120" customFormat="false" ht="64.15" hidden="false" customHeight="false" outlineLevel="0" collapsed="false">
      <c r="A120" s="10" t="n">
        <v>116</v>
      </c>
      <c r="B120" s="10" t="s">
        <v>814</v>
      </c>
      <c r="C120" s="10" t="s">
        <v>801</v>
      </c>
      <c r="D120" s="10" t="s">
        <v>815</v>
      </c>
      <c r="E120" s="10" t="s">
        <v>71</v>
      </c>
      <c r="F120" s="10" t="s">
        <v>809</v>
      </c>
      <c r="G120" s="10" t="s">
        <v>86</v>
      </c>
      <c r="H120" s="10" t="s">
        <v>810</v>
      </c>
      <c r="I120" s="10" t="s">
        <v>816</v>
      </c>
      <c r="J120" s="10" t="s">
        <v>817</v>
      </c>
      <c r="K120" s="10" t="s">
        <v>818</v>
      </c>
      <c r="L120" s="10" t="s">
        <v>68</v>
      </c>
      <c r="M120" s="10" t="s">
        <v>19</v>
      </c>
      <c r="N120" s="10"/>
      <c r="O120" s="10"/>
      <c r="P120" s="10"/>
      <c r="Q120" s="10"/>
      <c r="R120" s="10"/>
    </row>
    <row r="121" customFormat="false" ht="64.15" hidden="false" customHeight="false" outlineLevel="0" collapsed="false">
      <c r="A121" s="9" t="n">
        <v>117</v>
      </c>
      <c r="B121" s="9" t="s">
        <v>819</v>
      </c>
      <c r="C121" s="9" t="s">
        <v>801</v>
      </c>
      <c r="D121" s="9" t="s">
        <v>820</v>
      </c>
      <c r="E121" s="9" t="s">
        <v>61</v>
      </c>
      <c r="F121" s="9" t="s">
        <v>821</v>
      </c>
      <c r="G121" s="9" t="s">
        <v>86</v>
      </c>
      <c r="H121" s="9" t="s">
        <v>810</v>
      </c>
      <c r="I121" s="9" t="s">
        <v>822</v>
      </c>
      <c r="J121" s="9" t="s">
        <v>823</v>
      </c>
      <c r="K121" s="9" t="s">
        <v>824</v>
      </c>
      <c r="L121" s="9" t="s">
        <v>68</v>
      </c>
      <c r="M121" s="9" t="s">
        <v>19</v>
      </c>
      <c r="N121" s="9"/>
      <c r="O121" s="9"/>
      <c r="P121" s="9"/>
      <c r="Q121" s="9"/>
      <c r="R121" s="9"/>
    </row>
    <row r="122" customFormat="false" ht="64.15" hidden="false" customHeight="false" outlineLevel="0" collapsed="false">
      <c r="A122" s="10" t="n">
        <v>118</v>
      </c>
      <c r="B122" s="10" t="s">
        <v>825</v>
      </c>
      <c r="C122" s="10" t="s">
        <v>801</v>
      </c>
      <c r="D122" s="10" t="s">
        <v>826</v>
      </c>
      <c r="E122" s="10" t="s">
        <v>78</v>
      </c>
      <c r="F122" s="10" t="s">
        <v>809</v>
      </c>
      <c r="G122" s="10" t="s">
        <v>86</v>
      </c>
      <c r="H122" s="10" t="s">
        <v>827</v>
      </c>
      <c r="I122" s="10" t="s">
        <v>828</v>
      </c>
      <c r="J122" s="10" t="s">
        <v>829</v>
      </c>
      <c r="K122" s="10" t="s">
        <v>830</v>
      </c>
      <c r="L122" s="10" t="s">
        <v>68</v>
      </c>
      <c r="M122" s="10" t="s">
        <v>19</v>
      </c>
      <c r="N122" s="10"/>
      <c r="O122" s="10"/>
      <c r="P122" s="10"/>
      <c r="Q122" s="10"/>
      <c r="R122" s="10"/>
    </row>
    <row r="123" customFormat="false" ht="64.15" hidden="false" customHeight="false" outlineLevel="0" collapsed="false">
      <c r="A123" s="9" t="n">
        <v>119</v>
      </c>
      <c r="B123" s="9" t="s">
        <v>831</v>
      </c>
      <c r="C123" s="9" t="s">
        <v>801</v>
      </c>
      <c r="D123" s="9" t="s">
        <v>832</v>
      </c>
      <c r="E123" s="9" t="s">
        <v>71</v>
      </c>
      <c r="F123" s="9" t="s">
        <v>62</v>
      </c>
      <c r="G123" s="9" t="s">
        <v>86</v>
      </c>
      <c r="H123" s="9" t="s">
        <v>833</v>
      </c>
      <c r="I123" s="9" t="s">
        <v>834</v>
      </c>
      <c r="J123" s="9" t="s">
        <v>835</v>
      </c>
      <c r="K123" s="9" t="s">
        <v>836</v>
      </c>
      <c r="L123" s="9" t="s">
        <v>68</v>
      </c>
      <c r="M123" s="9" t="s">
        <v>19</v>
      </c>
      <c r="N123" s="9"/>
      <c r="O123" s="9"/>
      <c r="P123" s="9"/>
      <c r="Q123" s="9"/>
      <c r="R123" s="9"/>
    </row>
    <row r="124" customFormat="false" ht="64.15" hidden="false" customHeight="false" outlineLevel="0" collapsed="false">
      <c r="A124" s="10" t="n">
        <v>120</v>
      </c>
      <c r="B124" s="10" t="s">
        <v>837</v>
      </c>
      <c r="C124" s="10" t="s">
        <v>801</v>
      </c>
      <c r="D124" s="10" t="s">
        <v>838</v>
      </c>
      <c r="E124" s="10" t="s">
        <v>61</v>
      </c>
      <c r="F124" s="10" t="s">
        <v>839</v>
      </c>
      <c r="G124" s="10" t="s">
        <v>102</v>
      </c>
      <c r="H124" s="10" t="s">
        <v>840</v>
      </c>
      <c r="I124" s="10" t="s">
        <v>841</v>
      </c>
      <c r="J124" s="10" t="s">
        <v>842</v>
      </c>
      <c r="K124" s="10" t="s">
        <v>843</v>
      </c>
      <c r="L124" s="10" t="s">
        <v>68</v>
      </c>
      <c r="M124" s="10" t="s">
        <v>19</v>
      </c>
      <c r="N124" s="10"/>
      <c r="O124" s="10"/>
      <c r="P124" s="10"/>
      <c r="Q124" s="10"/>
      <c r="R124" s="10"/>
    </row>
    <row r="125" customFormat="false" ht="64.15" hidden="false" customHeight="false" outlineLevel="0" collapsed="false">
      <c r="A125" s="9" t="n">
        <v>121</v>
      </c>
      <c r="B125" s="9" t="s">
        <v>844</v>
      </c>
      <c r="C125" s="9" t="s">
        <v>801</v>
      </c>
      <c r="D125" s="9" t="s">
        <v>845</v>
      </c>
      <c r="E125" s="9" t="s">
        <v>71</v>
      </c>
      <c r="F125" s="9" t="s">
        <v>110</v>
      </c>
      <c r="G125" s="9" t="s">
        <v>63</v>
      </c>
      <c r="H125" s="9" t="s">
        <v>846</v>
      </c>
      <c r="I125" s="9" t="s">
        <v>847</v>
      </c>
      <c r="J125" s="9" t="s">
        <v>848</v>
      </c>
      <c r="K125" s="9" t="s">
        <v>849</v>
      </c>
      <c r="L125" s="9" t="s">
        <v>68</v>
      </c>
      <c r="M125" s="9" t="s">
        <v>19</v>
      </c>
      <c r="N125" s="9"/>
      <c r="O125" s="9"/>
      <c r="P125" s="9"/>
      <c r="Q125" s="9"/>
      <c r="R125" s="9"/>
    </row>
    <row r="126" customFormat="false" ht="64.15" hidden="false" customHeight="false" outlineLevel="0" collapsed="false">
      <c r="A126" s="10" t="n">
        <v>122</v>
      </c>
      <c r="B126" s="10" t="s">
        <v>850</v>
      </c>
      <c r="C126" s="10" t="s">
        <v>851</v>
      </c>
      <c r="D126" s="10" t="s">
        <v>852</v>
      </c>
      <c r="E126" s="10" t="s">
        <v>71</v>
      </c>
      <c r="F126" s="10" t="s">
        <v>853</v>
      </c>
      <c r="G126" s="10" t="s">
        <v>63</v>
      </c>
      <c r="H126" s="10" t="s">
        <v>854</v>
      </c>
      <c r="I126" s="10" t="s">
        <v>855</v>
      </c>
      <c r="J126" s="10" t="s">
        <v>856</v>
      </c>
      <c r="K126" s="10" t="s">
        <v>857</v>
      </c>
      <c r="L126" s="10" t="s">
        <v>68</v>
      </c>
      <c r="M126" s="10" t="s">
        <v>19</v>
      </c>
      <c r="N126" s="10"/>
      <c r="O126" s="10"/>
      <c r="P126" s="10"/>
      <c r="Q126" s="10"/>
      <c r="R126" s="10"/>
    </row>
    <row r="127" customFormat="false" ht="64.15" hidden="false" customHeight="false" outlineLevel="0" collapsed="false">
      <c r="A127" s="9" t="n">
        <v>123</v>
      </c>
      <c r="B127" s="9" t="s">
        <v>858</v>
      </c>
      <c r="C127" s="9" t="s">
        <v>851</v>
      </c>
      <c r="D127" s="9" t="s">
        <v>859</v>
      </c>
      <c r="E127" s="9" t="s">
        <v>78</v>
      </c>
      <c r="F127" s="9" t="s">
        <v>853</v>
      </c>
      <c r="G127" s="9" t="s">
        <v>63</v>
      </c>
      <c r="H127" s="9" t="s">
        <v>860</v>
      </c>
      <c r="I127" s="9" t="s">
        <v>861</v>
      </c>
      <c r="J127" s="9" t="s">
        <v>862</v>
      </c>
      <c r="K127" s="9" t="s">
        <v>863</v>
      </c>
      <c r="L127" s="9" t="s">
        <v>68</v>
      </c>
      <c r="M127" s="9" t="s">
        <v>19</v>
      </c>
      <c r="N127" s="9"/>
      <c r="O127" s="9"/>
      <c r="P127" s="9"/>
      <c r="Q127" s="9"/>
      <c r="R127" s="9"/>
    </row>
    <row r="128" customFormat="false" ht="64.15" hidden="false" customHeight="false" outlineLevel="0" collapsed="false">
      <c r="A128" s="10" t="n">
        <v>124</v>
      </c>
      <c r="B128" s="10" t="s">
        <v>864</v>
      </c>
      <c r="C128" s="10" t="s">
        <v>851</v>
      </c>
      <c r="D128" s="10" t="s">
        <v>865</v>
      </c>
      <c r="E128" s="10" t="s">
        <v>71</v>
      </c>
      <c r="F128" s="10" t="s">
        <v>853</v>
      </c>
      <c r="G128" s="10" t="s">
        <v>63</v>
      </c>
      <c r="H128" s="10" t="s">
        <v>860</v>
      </c>
      <c r="I128" s="10" t="s">
        <v>866</v>
      </c>
      <c r="J128" s="10" t="s">
        <v>867</v>
      </c>
      <c r="K128" s="10" t="s">
        <v>868</v>
      </c>
      <c r="L128" s="10" t="s">
        <v>68</v>
      </c>
      <c r="M128" s="10" t="s">
        <v>19</v>
      </c>
      <c r="N128" s="10"/>
      <c r="O128" s="10"/>
      <c r="P128" s="10"/>
      <c r="Q128" s="10"/>
      <c r="R128" s="10"/>
    </row>
    <row r="129" customFormat="false" ht="64.15" hidden="false" customHeight="false" outlineLevel="0" collapsed="false">
      <c r="A129" s="9" t="n">
        <v>125</v>
      </c>
      <c r="B129" s="9" t="s">
        <v>869</v>
      </c>
      <c r="C129" s="9" t="s">
        <v>851</v>
      </c>
      <c r="D129" s="9" t="s">
        <v>870</v>
      </c>
      <c r="E129" s="9" t="s">
        <v>78</v>
      </c>
      <c r="F129" s="9" t="s">
        <v>610</v>
      </c>
      <c r="G129" s="9" t="s">
        <v>63</v>
      </c>
      <c r="H129" s="9" t="s">
        <v>860</v>
      </c>
      <c r="I129" s="9" t="s">
        <v>871</v>
      </c>
      <c r="J129" s="9" t="s">
        <v>872</v>
      </c>
      <c r="K129" s="9" t="s">
        <v>873</v>
      </c>
      <c r="L129" s="9" t="s">
        <v>68</v>
      </c>
      <c r="M129" s="9" t="s">
        <v>19</v>
      </c>
      <c r="N129" s="9"/>
      <c r="O129" s="9"/>
      <c r="P129" s="9"/>
      <c r="Q129" s="9"/>
      <c r="R129" s="9"/>
    </row>
    <row r="130" customFormat="false" ht="64.15" hidden="false" customHeight="false" outlineLevel="0" collapsed="false">
      <c r="A130" s="10" t="n">
        <v>126</v>
      </c>
      <c r="B130" s="10" t="s">
        <v>874</v>
      </c>
      <c r="C130" s="10" t="s">
        <v>851</v>
      </c>
      <c r="D130" s="10" t="s">
        <v>875</v>
      </c>
      <c r="E130" s="10" t="s">
        <v>71</v>
      </c>
      <c r="F130" s="10" t="s">
        <v>85</v>
      </c>
      <c r="G130" s="10" t="s">
        <v>63</v>
      </c>
      <c r="H130" s="10" t="s">
        <v>876</v>
      </c>
      <c r="I130" s="10" t="s">
        <v>877</v>
      </c>
      <c r="J130" s="10" t="s">
        <v>878</v>
      </c>
      <c r="K130" s="10" t="s">
        <v>879</v>
      </c>
      <c r="L130" s="10" t="s">
        <v>68</v>
      </c>
      <c r="M130" s="10" t="s">
        <v>19</v>
      </c>
      <c r="N130" s="10"/>
      <c r="O130" s="10"/>
      <c r="P130" s="10"/>
      <c r="Q130" s="10"/>
      <c r="R130" s="10"/>
    </row>
    <row r="131" customFormat="false" ht="64.15" hidden="false" customHeight="false" outlineLevel="0" collapsed="false">
      <c r="A131" s="9" t="n">
        <v>127</v>
      </c>
      <c r="B131" s="9" t="s">
        <v>880</v>
      </c>
      <c r="C131" s="9" t="s">
        <v>881</v>
      </c>
      <c r="D131" s="9" t="s">
        <v>882</v>
      </c>
      <c r="E131" s="9" t="s">
        <v>71</v>
      </c>
      <c r="F131" s="9" t="s">
        <v>62</v>
      </c>
      <c r="G131" s="9" t="s">
        <v>86</v>
      </c>
      <c r="H131" s="9" t="s">
        <v>883</v>
      </c>
      <c r="I131" s="9" t="s">
        <v>855</v>
      </c>
      <c r="J131" s="9" t="s">
        <v>884</v>
      </c>
      <c r="K131" s="9" t="s">
        <v>885</v>
      </c>
      <c r="L131" s="9" t="s">
        <v>68</v>
      </c>
      <c r="M131" s="9" t="s">
        <v>19</v>
      </c>
      <c r="N131" s="9"/>
      <c r="O131" s="9"/>
      <c r="P131" s="9"/>
      <c r="Q131" s="9"/>
      <c r="R131" s="9"/>
    </row>
    <row r="132" customFormat="false" ht="64.15" hidden="false" customHeight="false" outlineLevel="0" collapsed="false">
      <c r="A132" s="10" t="n">
        <v>128</v>
      </c>
      <c r="B132" s="10" t="s">
        <v>886</v>
      </c>
      <c r="C132" s="10" t="s">
        <v>881</v>
      </c>
      <c r="D132" s="10" t="s">
        <v>887</v>
      </c>
      <c r="E132" s="10" t="s">
        <v>78</v>
      </c>
      <c r="F132" s="10" t="s">
        <v>888</v>
      </c>
      <c r="G132" s="10" t="s">
        <v>63</v>
      </c>
      <c r="H132" s="10" t="s">
        <v>244</v>
      </c>
      <c r="I132" s="10" t="s">
        <v>889</v>
      </c>
      <c r="J132" s="10" t="s">
        <v>890</v>
      </c>
      <c r="K132" s="10" t="s">
        <v>891</v>
      </c>
      <c r="L132" s="10" t="s">
        <v>68</v>
      </c>
      <c r="M132" s="10" t="s">
        <v>19</v>
      </c>
      <c r="N132" s="10"/>
      <c r="O132" s="10"/>
      <c r="P132" s="10"/>
      <c r="Q132" s="10"/>
      <c r="R132" s="10"/>
    </row>
    <row r="133" customFormat="false" ht="64.15" hidden="false" customHeight="false" outlineLevel="0" collapsed="false">
      <c r="A133" s="9" t="n">
        <v>129</v>
      </c>
      <c r="B133" s="9" t="s">
        <v>892</v>
      </c>
      <c r="C133" s="9" t="s">
        <v>881</v>
      </c>
      <c r="D133" s="9" t="s">
        <v>893</v>
      </c>
      <c r="E133" s="9" t="s">
        <v>78</v>
      </c>
      <c r="F133" s="9" t="s">
        <v>888</v>
      </c>
      <c r="G133" s="9" t="s">
        <v>63</v>
      </c>
      <c r="H133" s="9" t="s">
        <v>244</v>
      </c>
      <c r="I133" s="9" t="s">
        <v>894</v>
      </c>
      <c r="J133" s="9" t="s">
        <v>895</v>
      </c>
      <c r="K133" s="9" t="s">
        <v>896</v>
      </c>
      <c r="L133" s="9" t="s">
        <v>68</v>
      </c>
      <c r="M133" s="9" t="s">
        <v>19</v>
      </c>
      <c r="N133" s="9"/>
      <c r="O133" s="9"/>
      <c r="P133" s="9"/>
      <c r="Q133" s="9"/>
      <c r="R133" s="9"/>
    </row>
    <row r="134" customFormat="false" ht="64.15" hidden="false" customHeight="false" outlineLevel="0" collapsed="false">
      <c r="A134" s="10" t="n">
        <v>130</v>
      </c>
      <c r="B134" s="10" t="s">
        <v>897</v>
      </c>
      <c r="C134" s="10" t="s">
        <v>881</v>
      </c>
      <c r="D134" s="10" t="s">
        <v>898</v>
      </c>
      <c r="E134" s="10" t="s">
        <v>71</v>
      </c>
      <c r="F134" s="10" t="s">
        <v>899</v>
      </c>
      <c r="G134" s="10" t="s">
        <v>63</v>
      </c>
      <c r="H134" s="10" t="s">
        <v>900</v>
      </c>
      <c r="I134" s="10" t="s">
        <v>415</v>
      </c>
      <c r="J134" s="10" t="s">
        <v>901</v>
      </c>
      <c r="K134" s="10" t="s">
        <v>902</v>
      </c>
      <c r="L134" s="10" t="s">
        <v>68</v>
      </c>
      <c r="M134" s="10" t="s">
        <v>19</v>
      </c>
      <c r="N134" s="10"/>
      <c r="O134" s="10"/>
      <c r="P134" s="10"/>
      <c r="Q134" s="10"/>
      <c r="R134" s="10"/>
    </row>
    <row r="135" customFormat="false" ht="64.15" hidden="false" customHeight="false" outlineLevel="0" collapsed="false">
      <c r="A135" s="9" t="n">
        <v>131</v>
      </c>
      <c r="B135" s="9" t="s">
        <v>903</v>
      </c>
      <c r="C135" s="9" t="s">
        <v>904</v>
      </c>
      <c r="D135" s="9" t="s">
        <v>905</v>
      </c>
      <c r="E135" s="9" t="s">
        <v>78</v>
      </c>
      <c r="F135" s="9" t="s">
        <v>263</v>
      </c>
      <c r="G135" s="9" t="s">
        <v>63</v>
      </c>
      <c r="H135" s="9" t="s">
        <v>906</v>
      </c>
      <c r="I135" s="9" t="s">
        <v>907</v>
      </c>
      <c r="J135" s="9" t="s">
        <v>908</v>
      </c>
      <c r="K135" s="9" t="s">
        <v>909</v>
      </c>
      <c r="L135" s="9" t="s">
        <v>68</v>
      </c>
      <c r="M135" s="9" t="s">
        <v>19</v>
      </c>
      <c r="N135" s="9"/>
      <c r="O135" s="9"/>
      <c r="P135" s="9"/>
      <c r="Q135" s="9"/>
      <c r="R135" s="9"/>
    </row>
    <row r="136" customFormat="false" ht="64.15" hidden="false" customHeight="false" outlineLevel="0" collapsed="false">
      <c r="A136" s="10" t="n">
        <v>132</v>
      </c>
      <c r="B136" s="10" t="s">
        <v>910</v>
      </c>
      <c r="C136" s="10" t="s">
        <v>904</v>
      </c>
      <c r="D136" s="10" t="s">
        <v>911</v>
      </c>
      <c r="E136" s="10" t="s">
        <v>78</v>
      </c>
      <c r="F136" s="10" t="s">
        <v>263</v>
      </c>
      <c r="G136" s="10" t="s">
        <v>63</v>
      </c>
      <c r="H136" s="10" t="s">
        <v>912</v>
      </c>
      <c r="I136" s="10" t="s">
        <v>913</v>
      </c>
      <c r="J136" s="10" t="s">
        <v>914</v>
      </c>
      <c r="K136" s="10" t="s">
        <v>915</v>
      </c>
      <c r="L136" s="10" t="s">
        <v>68</v>
      </c>
      <c r="M136" s="10" t="s">
        <v>19</v>
      </c>
      <c r="N136" s="10"/>
      <c r="O136" s="10"/>
      <c r="P136" s="10"/>
      <c r="Q136" s="10"/>
      <c r="R136" s="10"/>
    </row>
    <row r="137" customFormat="false" ht="64.15" hidden="false" customHeight="false" outlineLevel="0" collapsed="false">
      <c r="A137" s="9" t="n">
        <v>133</v>
      </c>
      <c r="B137" s="9" t="s">
        <v>916</v>
      </c>
      <c r="C137" s="9" t="s">
        <v>917</v>
      </c>
      <c r="D137" s="9" t="s">
        <v>918</v>
      </c>
      <c r="E137" s="9" t="s">
        <v>919</v>
      </c>
      <c r="F137" s="9" t="s">
        <v>920</v>
      </c>
      <c r="G137" s="9" t="s">
        <v>63</v>
      </c>
      <c r="H137" s="9" t="s">
        <v>921</v>
      </c>
      <c r="I137" s="9" t="s">
        <v>922</v>
      </c>
      <c r="J137" s="9" t="s">
        <v>923</v>
      </c>
      <c r="K137" s="9" t="s">
        <v>924</v>
      </c>
      <c r="L137" s="9" t="s">
        <v>68</v>
      </c>
      <c r="M137" s="9" t="s">
        <v>19</v>
      </c>
      <c r="N137" s="9"/>
      <c r="O137" s="9"/>
      <c r="P137" s="9"/>
      <c r="Q137" s="9"/>
      <c r="R137" s="9"/>
    </row>
    <row r="138" customFormat="false" ht="64.15" hidden="false" customHeight="false" outlineLevel="0" collapsed="false">
      <c r="A138" s="10" t="n">
        <v>134</v>
      </c>
      <c r="B138" s="10" t="s">
        <v>925</v>
      </c>
      <c r="C138" s="10" t="s">
        <v>926</v>
      </c>
      <c r="D138" s="10" t="s">
        <v>927</v>
      </c>
      <c r="E138" s="10" t="s">
        <v>61</v>
      </c>
      <c r="F138" s="10" t="s">
        <v>406</v>
      </c>
      <c r="G138" s="10" t="s">
        <v>63</v>
      </c>
      <c r="H138" s="10" t="s">
        <v>928</v>
      </c>
      <c r="I138" s="10" t="s">
        <v>929</v>
      </c>
      <c r="J138" s="10" t="s">
        <v>930</v>
      </c>
      <c r="K138" s="10" t="s">
        <v>931</v>
      </c>
      <c r="L138" s="10" t="s">
        <v>68</v>
      </c>
      <c r="M138" s="10" t="s">
        <v>19</v>
      </c>
      <c r="N138" s="10"/>
      <c r="O138" s="10"/>
      <c r="P138" s="10"/>
      <c r="Q138" s="10"/>
      <c r="R138" s="10"/>
    </row>
    <row r="139" customFormat="false" ht="64.15" hidden="false" customHeight="false" outlineLevel="0" collapsed="false">
      <c r="A139" s="9" t="n">
        <v>135</v>
      </c>
      <c r="B139" s="9" t="s">
        <v>932</v>
      </c>
      <c r="C139" s="9" t="s">
        <v>926</v>
      </c>
      <c r="D139" s="9" t="s">
        <v>933</v>
      </c>
      <c r="E139" s="9" t="s">
        <v>61</v>
      </c>
      <c r="F139" s="9" t="s">
        <v>934</v>
      </c>
      <c r="G139" s="9" t="s">
        <v>63</v>
      </c>
      <c r="H139" s="9" t="s">
        <v>935</v>
      </c>
      <c r="I139" s="9" t="s">
        <v>936</v>
      </c>
      <c r="J139" s="9" t="s">
        <v>937</v>
      </c>
      <c r="K139" s="9" t="s">
        <v>938</v>
      </c>
      <c r="L139" s="9" t="s">
        <v>68</v>
      </c>
      <c r="M139" s="9" t="s">
        <v>19</v>
      </c>
      <c r="N139" s="9"/>
      <c r="O139" s="9"/>
      <c r="P139" s="9"/>
      <c r="Q139" s="9"/>
      <c r="R139" s="9"/>
    </row>
    <row r="140" customFormat="false" ht="64.15" hidden="false" customHeight="false" outlineLevel="0" collapsed="false">
      <c r="A140" s="10" t="n">
        <v>136</v>
      </c>
      <c r="B140" s="10" t="s">
        <v>939</v>
      </c>
      <c r="C140" s="10" t="s">
        <v>926</v>
      </c>
      <c r="D140" s="10" t="s">
        <v>940</v>
      </c>
      <c r="E140" s="10" t="s">
        <v>61</v>
      </c>
      <c r="F140" s="10" t="s">
        <v>941</v>
      </c>
      <c r="G140" s="10" t="s">
        <v>63</v>
      </c>
      <c r="H140" s="10" t="s">
        <v>942</v>
      </c>
      <c r="I140" s="10" t="s">
        <v>943</v>
      </c>
      <c r="J140" s="10" t="s">
        <v>944</v>
      </c>
      <c r="K140" s="10" t="s">
        <v>945</v>
      </c>
      <c r="L140" s="10" t="s">
        <v>68</v>
      </c>
      <c r="M140" s="10" t="s">
        <v>19</v>
      </c>
      <c r="N140" s="10"/>
      <c r="O140" s="10"/>
      <c r="P140" s="10"/>
      <c r="Q140" s="10"/>
      <c r="R140" s="10"/>
    </row>
    <row r="141" customFormat="false" ht="64.15" hidden="false" customHeight="false" outlineLevel="0" collapsed="false">
      <c r="A141" s="9" t="n">
        <v>137</v>
      </c>
      <c r="B141" s="9" t="s">
        <v>946</v>
      </c>
      <c r="C141" s="9" t="s">
        <v>926</v>
      </c>
      <c r="D141" s="9" t="s">
        <v>947</v>
      </c>
      <c r="E141" s="9" t="s">
        <v>61</v>
      </c>
      <c r="F141" s="9" t="s">
        <v>129</v>
      </c>
      <c r="G141" s="9" t="s">
        <v>63</v>
      </c>
      <c r="H141" s="9" t="s">
        <v>451</v>
      </c>
      <c r="I141" s="9" t="s">
        <v>948</v>
      </c>
      <c r="J141" s="9" t="s">
        <v>949</v>
      </c>
      <c r="K141" s="9" t="s">
        <v>950</v>
      </c>
      <c r="L141" s="9" t="s">
        <v>68</v>
      </c>
      <c r="M141" s="9" t="s">
        <v>19</v>
      </c>
      <c r="N141" s="9"/>
      <c r="O141" s="9"/>
      <c r="P141" s="9"/>
      <c r="Q141" s="9"/>
      <c r="R141" s="9"/>
    </row>
    <row r="142" customFormat="false" ht="64.15" hidden="false" customHeight="false" outlineLevel="0" collapsed="false">
      <c r="A142" s="10" t="n">
        <v>138</v>
      </c>
      <c r="B142" s="10" t="s">
        <v>951</v>
      </c>
      <c r="C142" s="10" t="s">
        <v>926</v>
      </c>
      <c r="D142" s="10" t="s">
        <v>952</v>
      </c>
      <c r="E142" s="10" t="s">
        <v>71</v>
      </c>
      <c r="F142" s="10" t="s">
        <v>129</v>
      </c>
      <c r="G142" s="10" t="s">
        <v>63</v>
      </c>
      <c r="H142" s="10" t="s">
        <v>953</v>
      </c>
      <c r="I142" s="10" t="s">
        <v>954</v>
      </c>
      <c r="J142" s="10" t="s">
        <v>955</v>
      </c>
      <c r="K142" s="10" t="s">
        <v>956</v>
      </c>
      <c r="L142" s="10" t="s">
        <v>68</v>
      </c>
      <c r="M142" s="10" t="s">
        <v>19</v>
      </c>
      <c r="N142" s="10"/>
      <c r="O142" s="10"/>
      <c r="P142" s="10"/>
      <c r="Q142" s="10"/>
      <c r="R142" s="10"/>
    </row>
    <row r="143" customFormat="false" ht="64.15" hidden="false" customHeight="false" outlineLevel="0" collapsed="false">
      <c r="A143" s="9" t="n">
        <v>139</v>
      </c>
      <c r="B143" s="9" t="s">
        <v>957</v>
      </c>
      <c r="C143" s="9" t="s">
        <v>926</v>
      </c>
      <c r="D143" s="9" t="s">
        <v>958</v>
      </c>
      <c r="E143" s="9" t="s">
        <v>61</v>
      </c>
      <c r="F143" s="9" t="s">
        <v>129</v>
      </c>
      <c r="G143" s="9" t="s">
        <v>63</v>
      </c>
      <c r="H143" s="9" t="s">
        <v>959</v>
      </c>
      <c r="I143" s="9" t="s">
        <v>960</v>
      </c>
      <c r="J143" s="9" t="s">
        <v>961</v>
      </c>
      <c r="K143" s="9" t="s">
        <v>962</v>
      </c>
      <c r="L143" s="9" t="s">
        <v>68</v>
      </c>
      <c r="M143" s="9" t="s">
        <v>19</v>
      </c>
      <c r="N143" s="9"/>
      <c r="O143" s="9"/>
      <c r="P143" s="9"/>
      <c r="Q143" s="9"/>
      <c r="R143" s="9"/>
    </row>
    <row r="144" customFormat="false" ht="64.15" hidden="false" customHeight="false" outlineLevel="0" collapsed="false">
      <c r="A144" s="10" t="n">
        <v>140</v>
      </c>
      <c r="B144" s="10" t="s">
        <v>963</v>
      </c>
      <c r="C144" s="10" t="s">
        <v>926</v>
      </c>
      <c r="D144" s="10" t="s">
        <v>964</v>
      </c>
      <c r="E144" s="10" t="s">
        <v>61</v>
      </c>
      <c r="F144" s="10" t="s">
        <v>965</v>
      </c>
      <c r="G144" s="10" t="s">
        <v>63</v>
      </c>
      <c r="H144" s="10" t="s">
        <v>966</v>
      </c>
      <c r="I144" s="10" t="s">
        <v>967</v>
      </c>
      <c r="J144" s="10" t="s">
        <v>968</v>
      </c>
      <c r="K144" s="10" t="s">
        <v>969</v>
      </c>
      <c r="L144" s="10" t="s">
        <v>68</v>
      </c>
      <c r="M144" s="10" t="s">
        <v>19</v>
      </c>
      <c r="N144" s="10"/>
      <c r="O144" s="10"/>
      <c r="P144" s="10"/>
      <c r="Q144" s="10"/>
      <c r="R144" s="10"/>
    </row>
    <row r="145" customFormat="false" ht="64.15" hidden="false" customHeight="false" outlineLevel="0" collapsed="false">
      <c r="A145" s="9" t="n">
        <v>141</v>
      </c>
      <c r="B145" s="9" t="s">
        <v>970</v>
      </c>
      <c r="C145" s="9" t="s">
        <v>971</v>
      </c>
      <c r="D145" s="9" t="s">
        <v>972</v>
      </c>
      <c r="E145" s="9" t="s">
        <v>61</v>
      </c>
      <c r="F145" s="9" t="s">
        <v>973</v>
      </c>
      <c r="G145" s="9" t="s">
        <v>63</v>
      </c>
      <c r="H145" s="9" t="s">
        <v>974</v>
      </c>
      <c r="I145" s="9" t="s">
        <v>975</v>
      </c>
      <c r="J145" s="9" t="s">
        <v>976</v>
      </c>
      <c r="K145" s="9" t="s">
        <v>977</v>
      </c>
      <c r="L145" s="9" t="s">
        <v>68</v>
      </c>
      <c r="M145" s="9" t="s">
        <v>19</v>
      </c>
      <c r="N145" s="9"/>
      <c r="O145" s="9"/>
      <c r="P145" s="9"/>
      <c r="Q145" s="9"/>
      <c r="R145" s="9"/>
    </row>
    <row r="146" customFormat="false" ht="64.15" hidden="false" customHeight="false" outlineLevel="0" collapsed="false">
      <c r="A146" s="10" t="n">
        <v>142</v>
      </c>
      <c r="B146" s="10" t="s">
        <v>978</v>
      </c>
      <c r="C146" s="10" t="s">
        <v>971</v>
      </c>
      <c r="D146" s="10" t="s">
        <v>979</v>
      </c>
      <c r="E146" s="10" t="s">
        <v>71</v>
      </c>
      <c r="F146" s="10" t="s">
        <v>973</v>
      </c>
      <c r="G146" s="10" t="s">
        <v>63</v>
      </c>
      <c r="H146" s="10" t="s">
        <v>980</v>
      </c>
      <c r="I146" s="10" t="s">
        <v>981</v>
      </c>
      <c r="J146" s="10" t="s">
        <v>982</v>
      </c>
      <c r="K146" s="10" t="s">
        <v>983</v>
      </c>
      <c r="L146" s="10" t="s">
        <v>68</v>
      </c>
      <c r="M146" s="10" t="s">
        <v>19</v>
      </c>
      <c r="N146" s="10"/>
      <c r="O146" s="10"/>
      <c r="P146" s="10"/>
      <c r="Q146" s="10"/>
      <c r="R146" s="10"/>
    </row>
    <row r="147" customFormat="false" ht="64.15" hidden="false" customHeight="false" outlineLevel="0" collapsed="false">
      <c r="A147" s="9" t="n">
        <v>143</v>
      </c>
      <c r="B147" s="9" t="s">
        <v>984</v>
      </c>
      <c r="C147" s="9" t="s">
        <v>985</v>
      </c>
      <c r="D147" s="9" t="s">
        <v>986</v>
      </c>
      <c r="E147" s="9" t="s">
        <v>61</v>
      </c>
      <c r="F147" s="9" t="s">
        <v>185</v>
      </c>
      <c r="G147" s="9" t="s">
        <v>86</v>
      </c>
      <c r="H147" s="9" t="s">
        <v>987</v>
      </c>
      <c r="I147" s="9" t="s">
        <v>988</v>
      </c>
      <c r="J147" s="9" t="s">
        <v>989</v>
      </c>
      <c r="K147" s="9" t="s">
        <v>990</v>
      </c>
      <c r="L147" s="9" t="s">
        <v>68</v>
      </c>
      <c r="M147" s="9" t="s">
        <v>19</v>
      </c>
      <c r="N147" s="9"/>
      <c r="O147" s="9"/>
      <c r="P147" s="9"/>
      <c r="Q147" s="9"/>
      <c r="R147" s="9"/>
    </row>
    <row r="148" customFormat="false" ht="64.15" hidden="false" customHeight="false" outlineLevel="0" collapsed="false">
      <c r="A148" s="10" t="n">
        <v>144</v>
      </c>
      <c r="B148" s="10" t="s">
        <v>991</v>
      </c>
      <c r="C148" s="10" t="s">
        <v>926</v>
      </c>
      <c r="D148" s="10" t="s">
        <v>992</v>
      </c>
      <c r="E148" s="10" t="s">
        <v>71</v>
      </c>
      <c r="F148" s="10" t="s">
        <v>993</v>
      </c>
      <c r="G148" s="10" t="s">
        <v>63</v>
      </c>
      <c r="H148" s="10" t="s">
        <v>994</v>
      </c>
      <c r="I148" s="10" t="s">
        <v>995</v>
      </c>
      <c r="J148" s="10" t="s">
        <v>996</v>
      </c>
      <c r="K148" s="10" t="s">
        <v>997</v>
      </c>
      <c r="L148" s="10" t="s">
        <v>68</v>
      </c>
      <c r="M148" s="10" t="s">
        <v>19</v>
      </c>
      <c r="N148" s="10"/>
      <c r="O148" s="10"/>
      <c r="P148" s="10"/>
      <c r="Q148" s="10"/>
      <c r="R148" s="10"/>
    </row>
    <row r="149" customFormat="false" ht="64.15" hidden="false" customHeight="false" outlineLevel="0" collapsed="false">
      <c r="A149" s="9" t="n">
        <v>145</v>
      </c>
      <c r="B149" s="9" t="s">
        <v>998</v>
      </c>
      <c r="C149" s="9" t="s">
        <v>926</v>
      </c>
      <c r="D149" s="9" t="s">
        <v>999</v>
      </c>
      <c r="E149" s="9" t="s">
        <v>71</v>
      </c>
      <c r="F149" s="9" t="s">
        <v>920</v>
      </c>
      <c r="G149" s="9" t="s">
        <v>63</v>
      </c>
      <c r="H149" s="9" t="s">
        <v>1000</v>
      </c>
      <c r="I149" s="9" t="s">
        <v>1001</v>
      </c>
      <c r="J149" s="9" t="s">
        <v>1002</v>
      </c>
      <c r="K149" s="9" t="s">
        <v>1003</v>
      </c>
      <c r="L149" s="9" t="s">
        <v>68</v>
      </c>
      <c r="M149" s="9" t="s">
        <v>19</v>
      </c>
      <c r="N149" s="9"/>
      <c r="O149" s="9"/>
      <c r="P149" s="9"/>
      <c r="Q149" s="9"/>
      <c r="R149" s="9"/>
    </row>
  </sheetData>
  <mergeCells count="2">
    <mergeCell ref="A1:R1"/>
    <mergeCell ref="A2:R2"/>
  </mergeCells>
  <dataValidations count="3">
    <dataValidation allowBlank="true" error="Pilih nilai yang tersedia untuk prioritas." errorStyle="stop" errorTitle="Pilihan tidak valid" operator="equal" showDropDown="false" showErrorMessage="true" showInputMessage="false" sqref="E5:E149" type="list">
      <formula1>$referensi.$b$2:$B$5</formula1>
      <formula2>0</formula2>
    </dataValidation>
    <dataValidation allowBlank="true" error="Pilih nilai yang tersedia untuk metode." errorStyle="stop" errorTitle="Pilihan tidak valid" operator="equal" showDropDown="false" showErrorMessage="true" showInputMessage="false" sqref="G5:G149" type="list">
      <formula1>$referensi.$c$2:$C$4</formula1>
      <formula2>0</formula2>
    </dataValidation>
    <dataValidation allowBlank="true" error="Pilih nilai yang tersedia untuk status test." errorStyle="stop" errorTitle="Pilihan tidak valid" operator="equal" showDropDown="false" showErrorMessage="true" showInputMessage="false" sqref="M5:M149" type="list">
      <formula1>$referensi.$a$2:$A$6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5"/>
    <col collapsed="false" customWidth="true" hidden="false" outlineLevel="0" max="2" min="2" style="0" width="16.84"/>
    <col collapsed="false" customWidth="true" hidden="false" outlineLevel="0" max="3" min="3" style="0" width="11.22"/>
    <col collapsed="false" customWidth="true" hidden="false" outlineLevel="0" max="4" min="4" style="0" width="20.91"/>
    <col collapsed="false" customWidth="true" hidden="false" outlineLevel="0" max="5" min="5" style="0" width="16.33"/>
    <col collapsed="false" customWidth="true" hidden="false" outlineLevel="0" max="6" min="6" style="0" width="34.18"/>
    <col collapsed="false" customWidth="true" hidden="false" outlineLevel="0" max="7" min="7" style="0" width="29.08"/>
    <col collapsed="false" customWidth="true" hidden="false" outlineLevel="0" max="8" min="8" style="0" width="28.06"/>
    <col collapsed="false" customWidth="true" hidden="false" outlineLevel="0" max="9" min="9" style="0" width="11.73"/>
  </cols>
  <sheetData>
    <row r="1" customFormat="false" ht="29.75" hidden="false" customHeight="true" outlineLevel="0" collapsed="false">
      <c r="A1" s="1" t="s">
        <v>1004</v>
      </c>
      <c r="B1" s="1"/>
      <c r="C1" s="1"/>
      <c r="D1" s="1"/>
      <c r="E1" s="1"/>
      <c r="F1" s="1"/>
      <c r="G1" s="1"/>
      <c r="H1" s="1"/>
      <c r="I1" s="1"/>
    </row>
    <row r="2" customFormat="false" ht="20.4" hidden="false" customHeight="true" outlineLevel="0" collapsed="false">
      <c r="A2" s="2" t="s">
        <v>1005</v>
      </c>
      <c r="B2" s="2"/>
      <c r="C2" s="2"/>
      <c r="D2" s="2"/>
      <c r="E2" s="2"/>
      <c r="F2" s="2"/>
      <c r="G2" s="2"/>
      <c r="H2" s="2"/>
      <c r="I2" s="2"/>
    </row>
    <row r="4" customFormat="false" ht="29.75" hidden="false" customHeight="true" outlineLevel="0" collapsed="false">
      <c r="A4" s="8" t="s">
        <v>1006</v>
      </c>
      <c r="B4" s="8" t="s">
        <v>1007</v>
      </c>
      <c r="C4" s="8" t="s">
        <v>1008</v>
      </c>
      <c r="D4" s="8" t="s">
        <v>47</v>
      </c>
      <c r="E4" s="8" t="s">
        <v>1009</v>
      </c>
      <c r="F4" s="8" t="s">
        <v>1010</v>
      </c>
      <c r="G4" s="8" t="s">
        <v>1011</v>
      </c>
      <c r="H4" s="8" t="s">
        <v>1012</v>
      </c>
      <c r="I4" s="8" t="s">
        <v>52</v>
      </c>
    </row>
    <row r="5" customFormat="false" ht="22.35" hidden="false" customHeight="false" outlineLevel="0" collapsed="false">
      <c r="A5" s="9" t="s">
        <v>1013</v>
      </c>
      <c r="B5" s="9" t="s">
        <v>1014</v>
      </c>
      <c r="C5" s="9" t="s">
        <v>1015</v>
      </c>
      <c r="D5" s="9" t="s">
        <v>1016</v>
      </c>
      <c r="E5" s="9" t="s">
        <v>1017</v>
      </c>
      <c r="F5" s="9" t="s">
        <v>1018</v>
      </c>
      <c r="G5" s="9" t="s">
        <v>1019</v>
      </c>
      <c r="H5" s="9" t="s">
        <v>1020</v>
      </c>
      <c r="I5" s="9" t="s">
        <v>19</v>
      </c>
    </row>
    <row r="6" customFormat="false" ht="22.35" hidden="false" customHeight="false" outlineLevel="0" collapsed="false">
      <c r="A6" s="10" t="s">
        <v>1021</v>
      </c>
      <c r="B6" s="10" t="s">
        <v>1022</v>
      </c>
      <c r="C6" s="10" t="s">
        <v>1023</v>
      </c>
      <c r="D6" s="10" t="s">
        <v>1024</v>
      </c>
      <c r="E6" s="10" t="s">
        <v>1025</v>
      </c>
      <c r="F6" s="10" t="s">
        <v>1026</v>
      </c>
      <c r="G6" s="10" t="s">
        <v>1027</v>
      </c>
      <c r="H6" s="10" t="s">
        <v>1028</v>
      </c>
      <c r="I6" s="10" t="s">
        <v>19</v>
      </c>
    </row>
    <row r="7" customFormat="false" ht="22.35" hidden="false" customHeight="false" outlineLevel="0" collapsed="false">
      <c r="A7" s="9" t="s">
        <v>1029</v>
      </c>
      <c r="B7" s="9" t="s">
        <v>1030</v>
      </c>
      <c r="C7" s="9" t="s">
        <v>1031</v>
      </c>
      <c r="D7" s="9" t="s">
        <v>1032</v>
      </c>
      <c r="E7" s="9" t="s">
        <v>1033</v>
      </c>
      <c r="F7" s="9" t="s">
        <v>1034</v>
      </c>
      <c r="G7" s="9" t="s">
        <v>1035</v>
      </c>
      <c r="H7" s="9" t="s">
        <v>1036</v>
      </c>
      <c r="I7" s="9" t="s">
        <v>19</v>
      </c>
    </row>
    <row r="8" customFormat="false" ht="22.35" hidden="false" customHeight="false" outlineLevel="0" collapsed="false">
      <c r="A8" s="10" t="s">
        <v>1037</v>
      </c>
      <c r="B8" s="10" t="s">
        <v>1038</v>
      </c>
      <c r="C8" s="10" t="s">
        <v>1039</v>
      </c>
      <c r="D8" s="10" t="s">
        <v>1040</v>
      </c>
      <c r="E8" s="10" t="s">
        <v>206</v>
      </c>
      <c r="F8" s="10" t="s">
        <v>1041</v>
      </c>
      <c r="G8" s="10" t="s">
        <v>1042</v>
      </c>
      <c r="H8" s="10" t="s">
        <v>1043</v>
      </c>
      <c r="I8" s="10" t="s">
        <v>19</v>
      </c>
    </row>
    <row r="9" customFormat="false" ht="22.35" hidden="false" customHeight="false" outlineLevel="0" collapsed="false">
      <c r="A9" s="9" t="s">
        <v>1044</v>
      </c>
      <c r="B9" s="9" t="s">
        <v>1045</v>
      </c>
      <c r="C9" s="9" t="s">
        <v>1015</v>
      </c>
      <c r="D9" s="9" t="s">
        <v>1046</v>
      </c>
      <c r="E9" s="9" t="s">
        <v>1047</v>
      </c>
      <c r="F9" s="9" t="s">
        <v>1048</v>
      </c>
      <c r="G9" s="9" t="s">
        <v>1049</v>
      </c>
      <c r="H9" s="9" t="s">
        <v>1050</v>
      </c>
      <c r="I9" s="9" t="s">
        <v>19</v>
      </c>
    </row>
    <row r="10" customFormat="false" ht="22.35" hidden="false" customHeight="false" outlineLevel="0" collapsed="false">
      <c r="A10" s="10" t="s">
        <v>1051</v>
      </c>
      <c r="B10" s="10" t="s">
        <v>1052</v>
      </c>
      <c r="C10" s="10" t="s">
        <v>1015</v>
      </c>
      <c r="D10" s="10" t="s">
        <v>1053</v>
      </c>
      <c r="E10" s="10" t="s">
        <v>1054</v>
      </c>
      <c r="F10" s="10" t="s">
        <v>1055</v>
      </c>
      <c r="G10" s="10" t="s">
        <v>1056</v>
      </c>
      <c r="H10" s="10" t="s">
        <v>1057</v>
      </c>
      <c r="I10" s="10" t="s">
        <v>19</v>
      </c>
    </row>
    <row r="11" customFormat="false" ht="22.35" hidden="false" customHeight="false" outlineLevel="0" collapsed="false">
      <c r="A11" s="9" t="s">
        <v>1058</v>
      </c>
      <c r="B11" s="9" t="s">
        <v>1059</v>
      </c>
      <c r="C11" s="9" t="s">
        <v>1015</v>
      </c>
      <c r="D11" s="9" t="s">
        <v>1060</v>
      </c>
      <c r="E11" s="9" t="s">
        <v>1061</v>
      </c>
      <c r="F11" s="9" t="s">
        <v>1062</v>
      </c>
      <c r="G11" s="9" t="s">
        <v>1063</v>
      </c>
      <c r="H11" s="9" t="s">
        <v>1064</v>
      </c>
      <c r="I11" s="9" t="s">
        <v>19</v>
      </c>
    </row>
    <row r="12" customFormat="false" ht="32.8" hidden="false" customHeight="false" outlineLevel="0" collapsed="false">
      <c r="A12" s="10" t="s">
        <v>1065</v>
      </c>
      <c r="B12" s="10" t="s">
        <v>1066</v>
      </c>
      <c r="C12" s="10" t="s">
        <v>1067</v>
      </c>
      <c r="D12" s="10" t="s">
        <v>1068</v>
      </c>
      <c r="E12" s="10" t="s">
        <v>1069</v>
      </c>
      <c r="F12" s="10" t="s">
        <v>1070</v>
      </c>
      <c r="G12" s="10" t="s">
        <v>1071</v>
      </c>
      <c r="H12" s="10" t="s">
        <v>1072</v>
      </c>
      <c r="I12" s="10" t="s">
        <v>19</v>
      </c>
    </row>
    <row r="13" customFormat="false" ht="32.8" hidden="false" customHeight="false" outlineLevel="0" collapsed="false">
      <c r="A13" s="9" t="s">
        <v>1073</v>
      </c>
      <c r="B13" s="9" t="s">
        <v>1074</v>
      </c>
      <c r="C13" s="9" t="s">
        <v>1067</v>
      </c>
      <c r="D13" s="9" t="s">
        <v>1075</v>
      </c>
      <c r="E13" s="9" t="s">
        <v>1076</v>
      </c>
      <c r="F13" s="9" t="s">
        <v>1077</v>
      </c>
      <c r="G13" s="9" t="s">
        <v>1078</v>
      </c>
      <c r="H13" s="9" t="s">
        <v>1079</v>
      </c>
      <c r="I13" s="9" t="s">
        <v>19</v>
      </c>
    </row>
    <row r="14" customFormat="false" ht="22.35" hidden="false" customHeight="false" outlineLevel="0" collapsed="false">
      <c r="A14" s="10" t="s">
        <v>1080</v>
      </c>
      <c r="B14" s="10" t="s">
        <v>1081</v>
      </c>
      <c r="C14" s="10" t="s">
        <v>1015</v>
      </c>
      <c r="D14" s="10" t="s">
        <v>1082</v>
      </c>
      <c r="E14" s="10" t="s">
        <v>1083</v>
      </c>
      <c r="F14" s="10" t="s">
        <v>1084</v>
      </c>
      <c r="G14" s="10" t="s">
        <v>1085</v>
      </c>
      <c r="H14" s="10" t="s">
        <v>1086</v>
      </c>
      <c r="I14" s="10" t="s">
        <v>19</v>
      </c>
    </row>
    <row r="15" customFormat="false" ht="22.35" hidden="false" customHeight="false" outlineLevel="0" collapsed="false">
      <c r="A15" s="9" t="s">
        <v>1087</v>
      </c>
      <c r="B15" s="9" t="s">
        <v>1088</v>
      </c>
      <c r="C15" s="9" t="s">
        <v>1015</v>
      </c>
      <c r="D15" s="9" t="s">
        <v>854</v>
      </c>
      <c r="E15" s="9" t="s">
        <v>1089</v>
      </c>
      <c r="F15" s="9" t="s">
        <v>1090</v>
      </c>
      <c r="G15" s="9" t="s">
        <v>1091</v>
      </c>
      <c r="H15" s="9" t="s">
        <v>1092</v>
      </c>
      <c r="I15" s="9" t="s">
        <v>19</v>
      </c>
    </row>
    <row r="16" customFormat="false" ht="22.35" hidden="false" customHeight="false" outlineLevel="0" collapsed="false">
      <c r="A16" s="10" t="s">
        <v>1093</v>
      </c>
      <c r="B16" s="10" t="s">
        <v>1094</v>
      </c>
      <c r="C16" s="10" t="s">
        <v>1015</v>
      </c>
      <c r="D16" s="10" t="s">
        <v>1095</v>
      </c>
      <c r="E16" s="10" t="s">
        <v>1096</v>
      </c>
      <c r="F16" s="10" t="s">
        <v>1097</v>
      </c>
      <c r="G16" s="10" t="s">
        <v>1098</v>
      </c>
      <c r="H16" s="10" t="s">
        <v>1099</v>
      </c>
      <c r="I16" s="10" t="s">
        <v>19</v>
      </c>
    </row>
    <row r="17" customFormat="false" ht="22.35" hidden="false" customHeight="false" outlineLevel="0" collapsed="false">
      <c r="A17" s="9" t="s">
        <v>1100</v>
      </c>
      <c r="B17" s="9" t="s">
        <v>1101</v>
      </c>
      <c r="C17" s="9" t="s">
        <v>1015</v>
      </c>
      <c r="D17" s="9" t="s">
        <v>1102</v>
      </c>
      <c r="E17" s="9" t="s">
        <v>1103</v>
      </c>
      <c r="F17" s="9" t="s">
        <v>1104</v>
      </c>
      <c r="G17" s="9" t="s">
        <v>1105</v>
      </c>
      <c r="H17" s="9" t="s">
        <v>1106</v>
      </c>
      <c r="I17" s="9" t="s">
        <v>19</v>
      </c>
    </row>
    <row r="18" customFormat="false" ht="22.35" hidden="false" customHeight="false" outlineLevel="0" collapsed="false">
      <c r="A18" s="10" t="s">
        <v>1107</v>
      </c>
      <c r="B18" s="10" t="s">
        <v>1108</v>
      </c>
      <c r="C18" s="10" t="s">
        <v>1109</v>
      </c>
      <c r="D18" s="10" t="s">
        <v>1110</v>
      </c>
      <c r="E18" s="10" t="s">
        <v>1111</v>
      </c>
      <c r="F18" s="10" t="s">
        <v>1112</v>
      </c>
      <c r="G18" s="10" t="s">
        <v>1113</v>
      </c>
      <c r="H18" s="10" t="s">
        <v>1114</v>
      </c>
      <c r="I18" s="10" t="s">
        <v>19</v>
      </c>
    </row>
    <row r="19" customFormat="false" ht="22.35" hidden="false" customHeight="false" outlineLevel="0" collapsed="false">
      <c r="A19" s="9" t="s">
        <v>1115</v>
      </c>
      <c r="B19" s="9" t="s">
        <v>1116</v>
      </c>
      <c r="C19" s="9" t="s">
        <v>1117</v>
      </c>
      <c r="D19" s="9" t="s">
        <v>1118</v>
      </c>
      <c r="E19" s="9" t="s">
        <v>1119</v>
      </c>
      <c r="F19" s="9" t="s">
        <v>1120</v>
      </c>
      <c r="G19" s="9" t="s">
        <v>1121</v>
      </c>
      <c r="H19" s="9" t="s">
        <v>1122</v>
      </c>
      <c r="I19" s="9" t="s">
        <v>19</v>
      </c>
    </row>
  </sheetData>
  <mergeCells count="2">
    <mergeCell ref="A1:I1"/>
    <mergeCell ref="A2:I2"/>
  </mergeCells>
  <dataValidations count="1">
    <dataValidation allowBlank="true" error="Pilih nilai yang tersedia untuk status use case." errorStyle="stop" errorTitle="Pilihan tidak valid" operator="equal" showDropDown="false" showErrorMessage="true" showInputMessage="false" sqref="I5:I19" type="list">
      <formula1>$referensi.$a$2:$A$6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59"/>
    <col collapsed="false" customWidth="true" hidden="false" outlineLevel="0" max="2" min="2" style="0" width="8.67"/>
    <col collapsed="false" customWidth="true" hidden="false" outlineLevel="0" max="3" min="3" style="0" width="9.69"/>
    <col collapsed="false" customWidth="true" hidden="false" outlineLevel="0" max="4" min="4" style="0" width="11.22"/>
    <col collapsed="false" customWidth="true" hidden="false" outlineLevel="0" max="5" min="5" style="0" width="11.73"/>
    <col collapsed="false" customWidth="true" hidden="false" outlineLevel="0" max="6" min="6" style="0" width="23.47"/>
    <col collapsed="false" customWidth="true" hidden="false" outlineLevel="0" max="7" min="7" style="0" width="29.08"/>
    <col collapsed="false" customWidth="true" hidden="false" outlineLevel="0" max="9" min="8" style="0" width="23.47"/>
    <col collapsed="false" customWidth="true" hidden="false" outlineLevel="0" max="10" min="10" style="0" width="9.69"/>
    <col collapsed="false" customWidth="true" hidden="false" outlineLevel="0" max="11" min="11" style="0" width="9.18"/>
    <col collapsed="false" customWidth="true" hidden="false" outlineLevel="0" max="12" min="12" style="0" width="11.22"/>
    <col collapsed="false" customWidth="true" hidden="false" outlineLevel="0" max="14" min="13" style="0" width="11.73"/>
    <col collapsed="false" customWidth="true" hidden="false" outlineLevel="0" max="15" min="15" style="0" width="22.96"/>
  </cols>
  <sheetData>
    <row r="1" customFormat="false" ht="29.75" hidden="false" customHeight="true" outlineLevel="0" collapsed="false">
      <c r="A1" s="1" t="s">
        <v>1123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0.4" hidden="false" customHeight="true" outlineLevel="0" collapsed="false">
      <c r="A2" s="2" t="s">
        <v>1124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9.75" hidden="false" customHeight="true" outlineLevel="0" collapsed="false">
      <c r="A4" s="8" t="s">
        <v>40</v>
      </c>
      <c r="B4" s="8" t="s">
        <v>55</v>
      </c>
      <c r="C4" s="8" t="s">
        <v>41</v>
      </c>
      <c r="D4" s="8" t="s">
        <v>1125</v>
      </c>
      <c r="E4" s="8" t="s">
        <v>42</v>
      </c>
      <c r="F4" s="8" t="s">
        <v>1126</v>
      </c>
      <c r="G4" s="8" t="s">
        <v>1127</v>
      </c>
      <c r="H4" s="8" t="s">
        <v>1128</v>
      </c>
      <c r="I4" s="8" t="s">
        <v>1129</v>
      </c>
      <c r="J4" s="8" t="s">
        <v>1130</v>
      </c>
      <c r="K4" s="8" t="s">
        <v>1131</v>
      </c>
      <c r="L4" s="8" t="s">
        <v>1132</v>
      </c>
      <c r="M4" s="8" t="s">
        <v>52</v>
      </c>
      <c r="N4" s="8" t="s">
        <v>1133</v>
      </c>
      <c r="O4" s="8" t="s">
        <v>1134</v>
      </c>
    </row>
    <row r="5" customFormat="false" ht="12.8" hidden="false" customHeight="false" outlineLevel="0" collapsed="false">
      <c r="A5" s="9" t="n">
        <v>1</v>
      </c>
      <c r="B5" s="9" t="s">
        <v>1135</v>
      </c>
      <c r="C5" s="9"/>
      <c r="D5" s="9"/>
      <c r="E5" s="9"/>
      <c r="F5" s="9"/>
      <c r="G5" s="9"/>
      <c r="H5" s="9"/>
      <c r="I5" s="9"/>
      <c r="J5" s="9"/>
      <c r="K5" s="9"/>
      <c r="L5" s="9"/>
      <c r="M5" s="9" t="s">
        <v>1136</v>
      </c>
      <c r="N5" s="9"/>
      <c r="O5" s="9"/>
    </row>
    <row r="6" customFormat="false" ht="12.8" hidden="false" customHeight="false" outlineLevel="0" collapsed="false">
      <c r="A6" s="10" t="n">
        <v>2</v>
      </c>
      <c r="B6" s="10" t="s">
        <v>1137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1136</v>
      </c>
      <c r="N6" s="10"/>
      <c r="O6" s="10"/>
    </row>
    <row r="7" customFormat="false" ht="12.8" hidden="false" customHeight="false" outlineLevel="0" collapsed="false">
      <c r="A7" s="9" t="n">
        <v>3</v>
      </c>
      <c r="B7" s="9" t="s">
        <v>1138</v>
      </c>
      <c r="C7" s="9"/>
      <c r="D7" s="9"/>
      <c r="E7" s="9"/>
      <c r="F7" s="9"/>
      <c r="G7" s="9"/>
      <c r="H7" s="9"/>
      <c r="I7" s="9"/>
      <c r="J7" s="9"/>
      <c r="K7" s="9"/>
      <c r="L7" s="9"/>
      <c r="M7" s="9" t="s">
        <v>1136</v>
      </c>
      <c r="N7" s="9"/>
      <c r="O7" s="9"/>
    </row>
    <row r="8" customFormat="false" ht="12.8" hidden="false" customHeight="false" outlineLevel="0" collapsed="false">
      <c r="A8" s="10" t="n">
        <v>4</v>
      </c>
      <c r="B8" s="10" t="s">
        <v>1139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1136</v>
      </c>
      <c r="N8" s="10"/>
      <c r="O8" s="10"/>
    </row>
    <row r="9" customFormat="false" ht="12.8" hidden="false" customHeight="false" outlineLevel="0" collapsed="false">
      <c r="A9" s="9" t="n">
        <v>5</v>
      </c>
      <c r="B9" s="9" t="s">
        <v>1140</v>
      </c>
      <c r="C9" s="9"/>
      <c r="D9" s="9"/>
      <c r="E9" s="9"/>
      <c r="F9" s="9"/>
      <c r="G9" s="9"/>
      <c r="H9" s="9"/>
      <c r="I9" s="9"/>
      <c r="J9" s="9"/>
      <c r="K9" s="9"/>
      <c r="L9" s="9"/>
      <c r="M9" s="9" t="s">
        <v>1136</v>
      </c>
      <c r="N9" s="9"/>
      <c r="O9" s="9"/>
    </row>
    <row r="10" customFormat="false" ht="12.8" hidden="false" customHeight="false" outlineLevel="0" collapsed="false">
      <c r="A10" s="10" t="n">
        <v>6</v>
      </c>
      <c r="B10" s="10" t="s">
        <v>1141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1136</v>
      </c>
      <c r="N10" s="10"/>
      <c r="O10" s="10"/>
    </row>
    <row r="11" customFormat="false" ht="12.8" hidden="false" customHeight="false" outlineLevel="0" collapsed="false">
      <c r="A11" s="9" t="n">
        <v>7</v>
      </c>
      <c r="B11" s="9" t="s">
        <v>1142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 t="s">
        <v>1136</v>
      </c>
      <c r="N11" s="9"/>
      <c r="O11" s="9"/>
    </row>
    <row r="12" customFormat="false" ht="12.8" hidden="false" customHeight="false" outlineLevel="0" collapsed="false">
      <c r="A12" s="10" t="n">
        <v>8</v>
      </c>
      <c r="B12" s="10" t="s">
        <v>1143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1136</v>
      </c>
      <c r="N12" s="10"/>
      <c r="O12" s="10"/>
    </row>
    <row r="13" customFormat="false" ht="12.8" hidden="false" customHeight="false" outlineLevel="0" collapsed="false">
      <c r="A13" s="9" t="n">
        <v>9</v>
      </c>
      <c r="B13" s="9" t="s">
        <v>1144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 t="s">
        <v>1136</v>
      </c>
      <c r="N13" s="9"/>
      <c r="O13" s="9"/>
    </row>
    <row r="14" customFormat="false" ht="12.8" hidden="false" customHeight="false" outlineLevel="0" collapsed="false">
      <c r="A14" s="10" t="n">
        <v>10</v>
      </c>
      <c r="B14" s="10" t="s">
        <v>1145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1136</v>
      </c>
      <c r="N14" s="10"/>
      <c r="O14" s="10"/>
    </row>
    <row r="15" customFormat="false" ht="12.8" hidden="false" customHeight="false" outlineLevel="0" collapsed="false">
      <c r="A15" s="9" t="n">
        <v>11</v>
      </c>
      <c r="B15" s="9" t="s">
        <v>1146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 t="s">
        <v>1136</v>
      </c>
      <c r="N15" s="9"/>
      <c r="O15" s="9"/>
    </row>
    <row r="16" customFormat="false" ht="12.8" hidden="false" customHeight="false" outlineLevel="0" collapsed="false">
      <c r="A16" s="10" t="n">
        <v>12</v>
      </c>
      <c r="B16" s="10" t="s">
        <v>1147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1136</v>
      </c>
      <c r="N16" s="10"/>
      <c r="O16" s="10"/>
    </row>
    <row r="17" customFormat="false" ht="12.8" hidden="false" customHeight="false" outlineLevel="0" collapsed="false">
      <c r="A17" s="9" t="n">
        <v>13</v>
      </c>
      <c r="B17" s="9" t="s">
        <v>1148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 t="s">
        <v>1136</v>
      </c>
      <c r="N17" s="9"/>
      <c r="O17" s="9"/>
    </row>
    <row r="18" customFormat="false" ht="12.8" hidden="false" customHeight="false" outlineLevel="0" collapsed="false">
      <c r="A18" s="10" t="n">
        <v>14</v>
      </c>
      <c r="B18" s="10" t="s">
        <v>1149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1136</v>
      </c>
      <c r="N18" s="10"/>
      <c r="O18" s="10"/>
    </row>
    <row r="19" customFormat="false" ht="12.8" hidden="false" customHeight="false" outlineLevel="0" collapsed="false">
      <c r="A19" s="9" t="n">
        <v>15</v>
      </c>
      <c r="B19" s="9" t="s">
        <v>1150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 t="s">
        <v>1136</v>
      </c>
      <c r="N19" s="9"/>
      <c r="O19" s="9"/>
    </row>
    <row r="20" customFormat="false" ht="12.8" hidden="false" customHeight="false" outlineLevel="0" collapsed="false">
      <c r="A20" s="10" t="n">
        <v>16</v>
      </c>
      <c r="B20" s="10" t="s">
        <v>1151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1136</v>
      </c>
      <c r="N20" s="10"/>
      <c r="O20" s="10"/>
    </row>
    <row r="21" customFormat="false" ht="12.8" hidden="false" customHeight="false" outlineLevel="0" collapsed="false">
      <c r="A21" s="9" t="n">
        <v>17</v>
      </c>
      <c r="B21" s="9" t="s">
        <v>1152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 t="s">
        <v>1136</v>
      </c>
      <c r="N21" s="9"/>
      <c r="O21" s="9"/>
    </row>
    <row r="22" customFormat="false" ht="12.8" hidden="false" customHeight="false" outlineLevel="0" collapsed="false">
      <c r="A22" s="10" t="n">
        <v>18</v>
      </c>
      <c r="B22" s="10" t="s">
        <v>1153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1136</v>
      </c>
      <c r="N22" s="10"/>
      <c r="O22" s="10"/>
    </row>
    <row r="23" customFormat="false" ht="12.8" hidden="false" customHeight="false" outlineLevel="0" collapsed="false">
      <c r="A23" s="9" t="n">
        <v>19</v>
      </c>
      <c r="B23" s="9" t="s">
        <v>1154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 t="s">
        <v>1136</v>
      </c>
      <c r="N23" s="9"/>
      <c r="O23" s="9"/>
    </row>
    <row r="24" customFormat="false" ht="12.8" hidden="false" customHeight="false" outlineLevel="0" collapsed="false">
      <c r="A24" s="10" t="n">
        <v>20</v>
      </c>
      <c r="B24" s="10" t="s">
        <v>1155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1136</v>
      </c>
      <c r="N24" s="10"/>
      <c r="O24" s="10"/>
    </row>
    <row r="25" customFormat="false" ht="12.8" hidden="false" customHeight="false" outlineLevel="0" collapsed="false">
      <c r="A25" s="9" t="n">
        <v>21</v>
      </c>
      <c r="B25" s="9" t="s">
        <v>1156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 t="s">
        <v>1136</v>
      </c>
      <c r="N25" s="9"/>
      <c r="O25" s="9"/>
    </row>
    <row r="26" customFormat="false" ht="12.8" hidden="false" customHeight="false" outlineLevel="0" collapsed="false">
      <c r="A26" s="10" t="n">
        <v>22</v>
      </c>
      <c r="B26" s="10" t="s">
        <v>1157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1136</v>
      </c>
      <c r="N26" s="10"/>
      <c r="O26" s="10"/>
    </row>
    <row r="27" customFormat="false" ht="12.8" hidden="false" customHeight="false" outlineLevel="0" collapsed="false">
      <c r="A27" s="9" t="n">
        <v>23</v>
      </c>
      <c r="B27" s="9" t="s">
        <v>1158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 t="s">
        <v>1136</v>
      </c>
      <c r="N27" s="9"/>
      <c r="O27" s="9"/>
    </row>
    <row r="28" customFormat="false" ht="12.8" hidden="false" customHeight="false" outlineLevel="0" collapsed="false">
      <c r="A28" s="10" t="n">
        <v>24</v>
      </c>
      <c r="B28" s="10" t="s">
        <v>1159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1136</v>
      </c>
      <c r="N28" s="10"/>
      <c r="O28" s="10"/>
    </row>
    <row r="29" customFormat="false" ht="12.8" hidden="false" customHeight="false" outlineLevel="0" collapsed="false">
      <c r="A29" s="9" t="n">
        <v>25</v>
      </c>
      <c r="B29" s="9" t="s">
        <v>1160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 t="s">
        <v>1136</v>
      </c>
      <c r="N29" s="9"/>
      <c r="O29" s="9"/>
    </row>
    <row r="30" customFormat="false" ht="12.8" hidden="false" customHeight="false" outlineLevel="0" collapsed="false">
      <c r="A30" s="10" t="n">
        <v>26</v>
      </c>
      <c r="B30" s="10" t="s">
        <v>1161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1136</v>
      </c>
      <c r="N30" s="10"/>
      <c r="O30" s="10"/>
    </row>
    <row r="31" customFormat="false" ht="12.8" hidden="false" customHeight="false" outlineLevel="0" collapsed="false">
      <c r="A31" s="9" t="n">
        <v>27</v>
      </c>
      <c r="B31" s="9" t="s">
        <v>1162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 t="s">
        <v>1136</v>
      </c>
      <c r="N31" s="9"/>
      <c r="O31" s="9"/>
    </row>
    <row r="32" customFormat="false" ht="12.8" hidden="false" customHeight="false" outlineLevel="0" collapsed="false">
      <c r="A32" s="10" t="n">
        <v>28</v>
      </c>
      <c r="B32" s="10" t="s">
        <v>1163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1136</v>
      </c>
      <c r="N32" s="10"/>
      <c r="O32" s="10"/>
    </row>
    <row r="33" customFormat="false" ht="12.8" hidden="false" customHeight="false" outlineLevel="0" collapsed="false">
      <c r="A33" s="9" t="n">
        <v>29</v>
      </c>
      <c r="B33" s="9" t="s">
        <v>1164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 t="s">
        <v>1136</v>
      </c>
      <c r="N33" s="9"/>
      <c r="O33" s="9"/>
    </row>
    <row r="34" customFormat="false" ht="12.8" hidden="false" customHeight="false" outlineLevel="0" collapsed="false">
      <c r="A34" s="10" t="n">
        <v>30</v>
      </c>
      <c r="B34" s="10" t="s">
        <v>1165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1136</v>
      </c>
      <c r="N34" s="10"/>
      <c r="O34" s="10"/>
    </row>
    <row r="35" customFormat="false" ht="12.8" hidden="false" customHeight="false" outlineLevel="0" collapsed="false">
      <c r="A35" s="9" t="n">
        <v>31</v>
      </c>
      <c r="B35" s="9" t="s">
        <v>1166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 t="s">
        <v>1136</v>
      </c>
      <c r="N35" s="9"/>
      <c r="O35" s="9"/>
    </row>
    <row r="36" customFormat="false" ht="12.8" hidden="false" customHeight="false" outlineLevel="0" collapsed="false">
      <c r="A36" s="10" t="n">
        <v>32</v>
      </c>
      <c r="B36" s="10" t="s">
        <v>1167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1136</v>
      </c>
      <c r="N36" s="10"/>
      <c r="O36" s="10"/>
    </row>
    <row r="37" customFormat="false" ht="12.8" hidden="false" customHeight="false" outlineLevel="0" collapsed="false">
      <c r="A37" s="9" t="n">
        <v>33</v>
      </c>
      <c r="B37" s="9" t="s">
        <v>1168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 t="s">
        <v>1136</v>
      </c>
      <c r="N37" s="9"/>
      <c r="O37" s="9"/>
    </row>
    <row r="38" customFormat="false" ht="12.8" hidden="false" customHeight="false" outlineLevel="0" collapsed="false">
      <c r="A38" s="10" t="n">
        <v>34</v>
      </c>
      <c r="B38" s="10" t="s">
        <v>1169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1136</v>
      </c>
      <c r="N38" s="10"/>
      <c r="O38" s="10"/>
    </row>
    <row r="39" customFormat="false" ht="12.8" hidden="false" customHeight="false" outlineLevel="0" collapsed="false">
      <c r="A39" s="9" t="n">
        <v>35</v>
      </c>
      <c r="B39" s="9" t="s">
        <v>1170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 t="s">
        <v>1136</v>
      </c>
      <c r="N39" s="9"/>
      <c r="O39" s="9"/>
    </row>
    <row r="40" customFormat="false" ht="12.8" hidden="false" customHeight="false" outlineLevel="0" collapsed="false">
      <c r="A40" s="10" t="n">
        <v>36</v>
      </c>
      <c r="B40" s="10" t="s">
        <v>1171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1136</v>
      </c>
      <c r="N40" s="10"/>
      <c r="O40" s="10"/>
    </row>
    <row r="41" customFormat="false" ht="12.8" hidden="false" customHeight="false" outlineLevel="0" collapsed="false">
      <c r="A41" s="9" t="n">
        <v>37</v>
      </c>
      <c r="B41" s="9" t="s">
        <v>1172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 t="s">
        <v>1136</v>
      </c>
      <c r="N41" s="9"/>
      <c r="O41" s="9"/>
    </row>
    <row r="42" customFormat="false" ht="12.8" hidden="false" customHeight="false" outlineLevel="0" collapsed="false">
      <c r="A42" s="10" t="n">
        <v>38</v>
      </c>
      <c r="B42" s="10" t="s">
        <v>1173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1136</v>
      </c>
      <c r="N42" s="10"/>
      <c r="O42" s="10"/>
    </row>
    <row r="43" customFormat="false" ht="12.8" hidden="false" customHeight="false" outlineLevel="0" collapsed="false">
      <c r="A43" s="9" t="n">
        <v>39</v>
      </c>
      <c r="B43" s="9" t="s">
        <v>1174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 t="s">
        <v>1136</v>
      </c>
      <c r="N43" s="9"/>
      <c r="O43" s="9"/>
    </row>
    <row r="44" customFormat="false" ht="12.8" hidden="false" customHeight="false" outlineLevel="0" collapsed="false">
      <c r="A44" s="10" t="n">
        <v>40</v>
      </c>
      <c r="B44" s="10" t="s">
        <v>1175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1136</v>
      </c>
      <c r="N44" s="10"/>
      <c r="O44" s="10"/>
    </row>
  </sheetData>
  <mergeCells count="2">
    <mergeCell ref="A1:O1"/>
    <mergeCell ref="A2:O2"/>
  </mergeCells>
  <dataValidations count="3">
    <dataValidation allowBlank="true" error="Pilih nilai yang tersedia untuk severity." errorStyle="stop" errorTitle="Pilihan tidak valid" operator="equal" showDropDown="false" showErrorMessage="true" showInputMessage="false" sqref="J5:J44" type="list">
      <formula1>$referensi.$d$2:$D$5</formula1>
      <formula2>0</formula2>
    </dataValidation>
    <dataValidation allowBlank="true" error="Pilih nilai yang tersedia untuk priority." errorStyle="stop" errorTitle="Pilihan tidak valid" operator="equal" showDropDown="false" showErrorMessage="true" showInputMessage="false" sqref="K5:K44" type="list">
      <formula1>$referensi.$b$2:$B$5</formula1>
      <formula2>0</formula2>
    </dataValidation>
    <dataValidation allowBlank="true" error="Pilih nilai yang tersedia untuk status defect." errorStyle="stop" errorTitle="Pilihan tidak valid" operator="equal" showDropDown="false" showErrorMessage="true" showInputMessage="false" sqref="M5:M44" type="list">
      <formula1>$referensi.$e$2:$E$7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59"/>
    <col collapsed="false" customWidth="true" hidden="false" outlineLevel="0" max="2" min="2" style="0" width="15.31"/>
    <col collapsed="false" customWidth="true" hidden="false" outlineLevel="0" max="3" min="3" style="0" width="16.84"/>
    <col collapsed="false" customWidth="true" hidden="false" outlineLevel="0" max="5" min="4" style="0" width="15.31"/>
    <col collapsed="false" customWidth="true" hidden="false" outlineLevel="0" max="6" min="6" style="0" width="12.75"/>
    <col collapsed="false" customWidth="true" hidden="false" outlineLevel="0" max="7" min="7" style="0" width="25"/>
    <col collapsed="false" customWidth="true" hidden="false" outlineLevel="0" max="8" min="8" style="0" width="12.25"/>
    <col collapsed="false" customWidth="true" hidden="false" outlineLevel="0" max="9" min="9" style="0" width="15.31"/>
    <col collapsed="false" customWidth="true" hidden="false" outlineLevel="0" max="10" min="10" style="0" width="21.43"/>
  </cols>
  <sheetData>
    <row r="1" customFormat="false" ht="29.75" hidden="false" customHeight="true" outlineLevel="0" collapsed="false">
      <c r="A1" s="1" t="s">
        <v>1176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0.4" hidden="false" customHeight="true" outlineLevel="0" collapsed="false">
      <c r="A2" s="2" t="s">
        <v>1177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9.75" hidden="false" customHeight="true" outlineLevel="0" collapsed="false">
      <c r="A4" s="8" t="s">
        <v>40</v>
      </c>
      <c r="B4" s="8" t="s">
        <v>1178</v>
      </c>
      <c r="C4" s="8" t="s">
        <v>1179</v>
      </c>
      <c r="D4" s="8" t="s">
        <v>1180</v>
      </c>
      <c r="E4" s="8" t="s">
        <v>1181</v>
      </c>
      <c r="F4" s="8" t="s">
        <v>1182</v>
      </c>
      <c r="G4" s="8" t="s">
        <v>1183</v>
      </c>
      <c r="H4" s="8" t="s">
        <v>1184</v>
      </c>
      <c r="I4" s="8" t="s">
        <v>1185</v>
      </c>
      <c r="J4" s="8" t="s">
        <v>1186</v>
      </c>
    </row>
    <row r="5" customFormat="false" ht="12.8" hidden="false" customHeight="false" outlineLevel="0" collapsed="false">
      <c r="A5" s="9" t="n">
        <v>1</v>
      </c>
      <c r="B5" s="9" t="s">
        <v>1187</v>
      </c>
      <c r="C5" s="9"/>
      <c r="D5" s="9"/>
      <c r="E5" s="9"/>
      <c r="F5" s="9"/>
      <c r="G5" s="9"/>
      <c r="H5" s="9" t="s">
        <v>1188</v>
      </c>
      <c r="I5" s="9"/>
      <c r="J5" s="9"/>
    </row>
    <row r="6" customFormat="false" ht="22.35" hidden="false" customHeight="false" outlineLevel="0" collapsed="false">
      <c r="A6" s="10" t="n">
        <v>2</v>
      </c>
      <c r="B6" s="10" t="s">
        <v>1189</v>
      </c>
      <c r="C6" s="10"/>
      <c r="D6" s="10"/>
      <c r="E6" s="10"/>
      <c r="F6" s="10"/>
      <c r="G6" s="10"/>
      <c r="H6" s="10" t="s">
        <v>1188</v>
      </c>
      <c r="I6" s="10"/>
      <c r="J6" s="10"/>
    </row>
    <row r="7" customFormat="false" ht="12.8" hidden="false" customHeight="false" outlineLevel="0" collapsed="false">
      <c r="A7" s="9" t="n">
        <v>3</v>
      </c>
      <c r="B7" s="9" t="s">
        <v>1190</v>
      </c>
      <c r="C7" s="9"/>
      <c r="D7" s="9"/>
      <c r="E7" s="9"/>
      <c r="F7" s="9"/>
      <c r="G7" s="9"/>
      <c r="H7" s="9" t="s">
        <v>1188</v>
      </c>
      <c r="I7" s="9"/>
      <c r="J7" s="9"/>
    </row>
    <row r="8" customFormat="false" ht="12.8" hidden="false" customHeight="false" outlineLevel="0" collapsed="false">
      <c r="A8" s="10" t="n">
        <v>4</v>
      </c>
      <c r="B8" s="10" t="s">
        <v>1191</v>
      </c>
      <c r="C8" s="10"/>
      <c r="D8" s="10"/>
      <c r="E8" s="10"/>
      <c r="F8" s="10"/>
      <c r="G8" s="10"/>
      <c r="H8" s="10" t="s">
        <v>1188</v>
      </c>
      <c r="I8" s="10"/>
      <c r="J8" s="10"/>
    </row>
    <row r="9" customFormat="false" ht="22.35" hidden="false" customHeight="false" outlineLevel="0" collapsed="false">
      <c r="A9" s="9" t="n">
        <v>5</v>
      </c>
      <c r="B9" s="9" t="s">
        <v>1192</v>
      </c>
      <c r="C9" s="9"/>
      <c r="D9" s="9"/>
      <c r="E9" s="9"/>
      <c r="F9" s="9"/>
      <c r="G9" s="9"/>
      <c r="H9" s="9" t="s">
        <v>1188</v>
      </c>
      <c r="I9" s="9"/>
      <c r="J9" s="9"/>
    </row>
    <row r="10" customFormat="false" ht="12.8" hidden="false" customHeight="false" outlineLevel="0" collapsed="false">
      <c r="A10" s="10" t="n">
        <v>6</v>
      </c>
      <c r="B10" s="10" t="s">
        <v>1193</v>
      </c>
      <c r="C10" s="10"/>
      <c r="D10" s="10"/>
      <c r="E10" s="10"/>
      <c r="F10" s="10"/>
      <c r="G10" s="10"/>
      <c r="H10" s="10" t="s">
        <v>1188</v>
      </c>
      <c r="I10" s="10"/>
      <c r="J10" s="10"/>
    </row>
    <row r="11" customFormat="false" ht="12.8" hidden="false" customHeight="false" outlineLevel="0" collapsed="false">
      <c r="A11" s="9" t="n">
        <v>7</v>
      </c>
      <c r="B11" s="9" t="s">
        <v>1194</v>
      </c>
      <c r="C11" s="9"/>
      <c r="D11" s="9"/>
      <c r="E11" s="9"/>
      <c r="F11" s="9"/>
      <c r="G11" s="9"/>
      <c r="H11" s="9" t="s">
        <v>1188</v>
      </c>
      <c r="I11" s="9"/>
      <c r="J11" s="9"/>
    </row>
    <row r="12" customFormat="false" ht="12.8" hidden="false" customHeight="false" outlineLevel="0" collapsed="false">
      <c r="A12" s="10" t="n">
        <v>8</v>
      </c>
      <c r="B12" s="10" t="s">
        <v>1195</v>
      </c>
      <c r="C12" s="10"/>
      <c r="D12" s="10"/>
      <c r="E12" s="10"/>
      <c r="F12" s="10"/>
      <c r="G12" s="10"/>
      <c r="H12" s="10" t="s">
        <v>1188</v>
      </c>
      <c r="I12" s="10"/>
      <c r="J12" s="10"/>
    </row>
    <row r="13" customFormat="false" ht="22.35" hidden="false" customHeight="false" outlineLevel="0" collapsed="false">
      <c r="A13" s="9" t="n">
        <v>9</v>
      </c>
      <c r="B13" s="9" t="s">
        <v>1196</v>
      </c>
      <c r="C13" s="9"/>
      <c r="D13" s="9"/>
      <c r="E13" s="9"/>
      <c r="F13" s="9"/>
      <c r="G13" s="9"/>
      <c r="H13" s="9" t="s">
        <v>1188</v>
      </c>
      <c r="I13" s="9"/>
      <c r="J13" s="9"/>
    </row>
    <row r="14" customFormat="false" ht="22.35" hidden="false" customHeight="false" outlineLevel="0" collapsed="false">
      <c r="A14" s="10" t="n">
        <v>10</v>
      </c>
      <c r="B14" s="10" t="s">
        <v>1197</v>
      </c>
      <c r="C14" s="10"/>
      <c r="D14" s="10"/>
      <c r="E14" s="10"/>
      <c r="F14" s="10"/>
      <c r="G14" s="10"/>
      <c r="H14" s="10" t="s">
        <v>1188</v>
      </c>
      <c r="I14" s="10"/>
      <c r="J14" s="10"/>
    </row>
    <row r="15" customFormat="false" ht="12.8" hidden="false" customHeight="false" outlineLevel="0" collapsed="false">
      <c r="A15" s="9" t="n">
        <v>11</v>
      </c>
      <c r="B15" s="9" t="s">
        <v>1198</v>
      </c>
      <c r="C15" s="9"/>
      <c r="D15" s="9"/>
      <c r="E15" s="9"/>
      <c r="F15" s="9"/>
      <c r="G15" s="9"/>
      <c r="H15" s="9" t="s">
        <v>1188</v>
      </c>
      <c r="I15" s="9"/>
      <c r="J15" s="9"/>
    </row>
    <row r="16" customFormat="false" ht="12.8" hidden="false" customHeight="false" outlineLevel="0" collapsed="false">
      <c r="A16" s="10" t="n">
        <v>12</v>
      </c>
      <c r="B16" s="10" t="s">
        <v>1199</v>
      </c>
      <c r="C16" s="10"/>
      <c r="D16" s="10"/>
      <c r="E16" s="10"/>
      <c r="F16" s="10"/>
      <c r="G16" s="10"/>
      <c r="H16" s="10" t="s">
        <v>1188</v>
      </c>
      <c r="I16" s="10"/>
      <c r="J16" s="10"/>
    </row>
    <row r="17" customFormat="false" ht="12.8" hidden="false" customHeight="false" outlineLevel="0" collapsed="false">
      <c r="A17" s="9" t="n">
        <v>13</v>
      </c>
      <c r="B17" s="9" t="s">
        <v>1200</v>
      </c>
      <c r="C17" s="9"/>
      <c r="D17" s="9"/>
      <c r="E17" s="9"/>
      <c r="F17" s="9"/>
      <c r="G17" s="9"/>
      <c r="H17" s="9" t="s">
        <v>1188</v>
      </c>
      <c r="I17" s="9"/>
      <c r="J17" s="9"/>
    </row>
    <row r="18" customFormat="false" ht="12.8" hidden="false" customHeight="false" outlineLevel="0" collapsed="false">
      <c r="A18" s="10" t="n">
        <v>14</v>
      </c>
      <c r="B18" s="10" t="s">
        <v>1201</v>
      </c>
      <c r="C18" s="10"/>
      <c r="D18" s="10"/>
      <c r="E18" s="10"/>
      <c r="F18" s="10"/>
      <c r="G18" s="10"/>
      <c r="H18" s="10" t="s">
        <v>1188</v>
      </c>
      <c r="I18" s="10"/>
      <c r="J18" s="10"/>
    </row>
    <row r="19" customFormat="false" ht="22.35" hidden="false" customHeight="false" outlineLevel="0" collapsed="false">
      <c r="A19" s="9" t="n">
        <v>15</v>
      </c>
      <c r="B19" s="9" t="s">
        <v>1202</v>
      </c>
      <c r="C19" s="9"/>
      <c r="D19" s="9"/>
      <c r="E19" s="9"/>
      <c r="F19" s="9"/>
      <c r="G19" s="9"/>
      <c r="H19" s="9" t="s">
        <v>1188</v>
      </c>
      <c r="I19" s="9"/>
      <c r="J19" s="9"/>
    </row>
    <row r="20" customFormat="false" ht="22.35" hidden="false" customHeight="false" outlineLevel="0" collapsed="false">
      <c r="A20" s="10" t="n">
        <v>16</v>
      </c>
      <c r="B20" s="10" t="s">
        <v>1203</v>
      </c>
      <c r="C20" s="10"/>
      <c r="D20" s="10"/>
      <c r="E20" s="10"/>
      <c r="F20" s="10"/>
      <c r="G20" s="10"/>
      <c r="H20" s="10" t="s">
        <v>1188</v>
      </c>
      <c r="I20" s="10"/>
      <c r="J20" s="10"/>
    </row>
    <row r="21" customFormat="false" ht="12.8" hidden="false" customHeight="false" outlineLevel="0" collapsed="false">
      <c r="A21" s="9" t="n">
        <v>17</v>
      </c>
      <c r="B21" s="9" t="s">
        <v>1204</v>
      </c>
      <c r="C21" s="9"/>
      <c r="D21" s="9"/>
      <c r="E21" s="9"/>
      <c r="F21" s="9"/>
      <c r="G21" s="9"/>
      <c r="H21" s="9" t="s">
        <v>1188</v>
      </c>
      <c r="I21" s="9"/>
      <c r="J21" s="9"/>
    </row>
    <row r="22" customFormat="false" ht="22.35" hidden="false" customHeight="false" outlineLevel="0" collapsed="false">
      <c r="A22" s="10" t="n">
        <v>18</v>
      </c>
      <c r="B22" s="10" t="s">
        <v>1205</v>
      </c>
      <c r="C22" s="10"/>
      <c r="D22" s="10"/>
      <c r="E22" s="10"/>
      <c r="F22" s="10"/>
      <c r="G22" s="10"/>
      <c r="H22" s="10" t="s">
        <v>1188</v>
      </c>
      <c r="I22" s="10"/>
      <c r="J22" s="10"/>
    </row>
    <row r="23" customFormat="false" ht="12.8" hidden="false" customHeight="false" outlineLevel="0" collapsed="false">
      <c r="A23" s="9" t="n">
        <v>19</v>
      </c>
      <c r="B23" s="9" t="s">
        <v>1206</v>
      </c>
      <c r="C23" s="9"/>
      <c r="D23" s="9"/>
      <c r="E23" s="9"/>
      <c r="F23" s="9"/>
      <c r="G23" s="9"/>
      <c r="H23" s="9" t="s">
        <v>1188</v>
      </c>
      <c r="I23" s="9"/>
      <c r="J23" s="9"/>
    </row>
    <row r="24" customFormat="false" ht="22.35" hidden="false" customHeight="false" outlineLevel="0" collapsed="false">
      <c r="A24" s="10" t="n">
        <v>20</v>
      </c>
      <c r="B24" s="10" t="s">
        <v>1207</v>
      </c>
      <c r="C24" s="10"/>
      <c r="D24" s="10"/>
      <c r="E24" s="10"/>
      <c r="F24" s="10"/>
      <c r="G24" s="10"/>
      <c r="H24" s="10" t="s">
        <v>1188</v>
      </c>
      <c r="I24" s="10"/>
      <c r="J24" s="10"/>
    </row>
    <row r="25" customFormat="false" ht="22.35" hidden="false" customHeight="false" outlineLevel="0" collapsed="false">
      <c r="A25" s="9" t="n">
        <v>21</v>
      </c>
      <c r="B25" s="9" t="s">
        <v>1208</v>
      </c>
      <c r="C25" s="9"/>
      <c r="D25" s="9"/>
      <c r="E25" s="9"/>
      <c r="F25" s="9"/>
      <c r="G25" s="9"/>
      <c r="H25" s="9" t="s">
        <v>1188</v>
      </c>
      <c r="I25" s="9"/>
      <c r="J25" s="9"/>
    </row>
  </sheetData>
  <mergeCells count="2">
    <mergeCell ref="A1:J1"/>
    <mergeCell ref="A2:J2"/>
  </mergeCells>
  <dataValidations count="1">
    <dataValidation allowBlank="true" error="Pilih nilai yang tersedia untuk kesiapan." errorStyle="stop" errorTitle="Pilihan tidak valid" operator="equal" showDropDown="false" showErrorMessage="true" showInputMessage="false" sqref="H5:H25" type="list">
      <formula1>$referensi.$f$2:$F$5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59"/>
    <col collapsed="false" customWidth="true" hidden="false" outlineLevel="0" max="2" min="2" style="0" width="17.35"/>
    <col collapsed="false" customWidth="true" hidden="false" outlineLevel="0" max="3" min="3" style="0" width="31.63"/>
    <col collapsed="false" customWidth="true" hidden="false" outlineLevel="0" max="4" min="4" style="0" width="23.98"/>
    <col collapsed="false" customWidth="true" hidden="false" outlineLevel="0" max="5" min="5" style="0" width="7.65"/>
    <col collapsed="false" customWidth="true" hidden="false" outlineLevel="0" max="6" min="6" style="0" width="19.9"/>
    <col collapsed="false" customWidth="true" hidden="false" outlineLevel="0" max="7" min="7" style="0" width="11.73"/>
    <col collapsed="false" customWidth="true" hidden="false" outlineLevel="0" max="8" min="8" style="0" width="16.84"/>
    <col collapsed="false" customWidth="true" hidden="false" outlineLevel="0" max="10" min="9" style="0" width="11.22"/>
  </cols>
  <sheetData>
    <row r="1" customFormat="false" ht="29.75" hidden="false" customHeight="true" outlineLevel="0" collapsed="false">
      <c r="A1" s="1" t="s">
        <v>1209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0.4" hidden="false" customHeight="true" outlineLevel="0" collapsed="false">
      <c r="A2" s="2" t="s">
        <v>1210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9.75" hidden="false" customHeight="true" outlineLevel="0" collapsed="false">
      <c r="A4" s="8" t="s">
        <v>40</v>
      </c>
      <c r="B4" s="8" t="s">
        <v>1211</v>
      </c>
      <c r="C4" s="8" t="s">
        <v>1212</v>
      </c>
      <c r="D4" s="8" t="s">
        <v>1213</v>
      </c>
      <c r="E4" s="8" t="s">
        <v>1214</v>
      </c>
      <c r="F4" s="8" t="s">
        <v>1215</v>
      </c>
      <c r="G4" s="8" t="s">
        <v>52</v>
      </c>
      <c r="H4" s="8" t="s">
        <v>1216</v>
      </c>
      <c r="I4" s="8" t="s">
        <v>1132</v>
      </c>
      <c r="J4" s="8" t="s">
        <v>1125</v>
      </c>
    </row>
    <row r="5" customFormat="false" ht="22.35" hidden="false" customHeight="false" outlineLevel="0" collapsed="false">
      <c r="A5" s="9" t="n">
        <v>1</v>
      </c>
      <c r="B5" s="9" t="s">
        <v>1217</v>
      </c>
      <c r="C5" s="9" t="s">
        <v>1218</v>
      </c>
      <c r="D5" s="9" t="s">
        <v>1219</v>
      </c>
      <c r="E5" s="9" t="s">
        <v>1220</v>
      </c>
      <c r="F5" s="9"/>
      <c r="G5" s="9" t="s">
        <v>19</v>
      </c>
      <c r="H5" s="9"/>
      <c r="I5" s="9"/>
      <c r="J5" s="9"/>
    </row>
    <row r="6" customFormat="false" ht="22.35" hidden="false" customHeight="false" outlineLevel="0" collapsed="false">
      <c r="A6" s="10" t="n">
        <v>2</v>
      </c>
      <c r="B6" s="10" t="s">
        <v>27</v>
      </c>
      <c r="C6" s="10" t="s">
        <v>1221</v>
      </c>
      <c r="D6" s="10" t="s">
        <v>28</v>
      </c>
      <c r="E6" s="10" t="s">
        <v>1220</v>
      </c>
      <c r="F6" s="10"/>
      <c r="G6" s="10" t="s">
        <v>19</v>
      </c>
      <c r="H6" s="10"/>
      <c r="I6" s="10"/>
      <c r="J6" s="10"/>
    </row>
    <row r="7" customFormat="false" ht="22.35" hidden="false" customHeight="false" outlineLevel="0" collapsed="false">
      <c r="A7" s="9" t="n">
        <v>3</v>
      </c>
      <c r="B7" s="9" t="s">
        <v>1222</v>
      </c>
      <c r="C7" s="9" t="s">
        <v>1223</v>
      </c>
      <c r="D7" s="9" t="s">
        <v>1224</v>
      </c>
      <c r="E7" s="9" t="s">
        <v>1220</v>
      </c>
      <c r="F7" s="9"/>
      <c r="G7" s="9" t="s">
        <v>19</v>
      </c>
      <c r="H7" s="9"/>
      <c r="I7" s="9"/>
      <c r="J7" s="9"/>
    </row>
    <row r="8" customFormat="false" ht="32.8" hidden="false" customHeight="false" outlineLevel="0" collapsed="false">
      <c r="A8" s="10" t="n">
        <v>4</v>
      </c>
      <c r="B8" s="10" t="s">
        <v>1225</v>
      </c>
      <c r="C8" s="10" t="s">
        <v>1226</v>
      </c>
      <c r="D8" s="10" t="s">
        <v>1227</v>
      </c>
      <c r="E8" s="10" t="s">
        <v>1220</v>
      </c>
      <c r="F8" s="10"/>
      <c r="G8" s="10" t="s">
        <v>19</v>
      </c>
      <c r="H8" s="10"/>
      <c r="I8" s="10"/>
      <c r="J8" s="10"/>
    </row>
    <row r="9" customFormat="false" ht="22.35" hidden="false" customHeight="false" outlineLevel="0" collapsed="false">
      <c r="A9" s="9" t="n">
        <v>5</v>
      </c>
      <c r="B9" s="9" t="s">
        <v>1228</v>
      </c>
      <c r="C9" s="9" t="s">
        <v>1229</v>
      </c>
      <c r="D9" s="9" t="s">
        <v>1230</v>
      </c>
      <c r="E9" s="9" t="s">
        <v>1220</v>
      </c>
      <c r="F9" s="9"/>
      <c r="G9" s="9" t="s">
        <v>19</v>
      </c>
      <c r="H9" s="9"/>
      <c r="I9" s="9"/>
      <c r="J9" s="9"/>
    </row>
    <row r="10" customFormat="false" ht="22.35" hidden="false" customHeight="false" outlineLevel="0" collapsed="false">
      <c r="A10" s="10" t="n">
        <v>6</v>
      </c>
      <c r="B10" s="10" t="s">
        <v>1231</v>
      </c>
      <c r="C10" s="10" t="s">
        <v>1232</v>
      </c>
      <c r="D10" s="10" t="s">
        <v>1233</v>
      </c>
      <c r="E10" s="10" t="s">
        <v>1220</v>
      </c>
      <c r="F10" s="10"/>
      <c r="G10" s="10" t="s">
        <v>19</v>
      </c>
      <c r="H10" s="10"/>
      <c r="I10" s="10"/>
      <c r="J10" s="10"/>
    </row>
    <row r="11" customFormat="false" ht="22.35" hidden="false" customHeight="false" outlineLevel="0" collapsed="false">
      <c r="A11" s="9" t="n">
        <v>7</v>
      </c>
      <c r="B11" s="9" t="s">
        <v>1234</v>
      </c>
      <c r="C11" s="9" t="s">
        <v>1235</v>
      </c>
      <c r="D11" s="9" t="s">
        <v>1236</v>
      </c>
      <c r="E11" s="9" t="s">
        <v>1220</v>
      </c>
      <c r="F11" s="9"/>
      <c r="G11" s="9" t="s">
        <v>19</v>
      </c>
      <c r="H11" s="9"/>
      <c r="I11" s="9"/>
      <c r="J11" s="9"/>
    </row>
    <row r="12" customFormat="false" ht="12.8" hidden="false" customHeight="false" outlineLevel="0" collapsed="false">
      <c r="A12" s="10" t="n">
        <v>8</v>
      </c>
      <c r="B12" s="10" t="s">
        <v>1237</v>
      </c>
      <c r="C12" s="10" t="s">
        <v>1238</v>
      </c>
      <c r="D12" s="10" t="s">
        <v>1239</v>
      </c>
      <c r="E12" s="10" t="s">
        <v>1220</v>
      </c>
      <c r="F12" s="10"/>
      <c r="G12" s="10" t="s">
        <v>19</v>
      </c>
      <c r="H12" s="10"/>
      <c r="I12" s="10"/>
      <c r="J12" s="10"/>
    </row>
    <row r="13" customFormat="false" ht="12.8" hidden="false" customHeight="false" outlineLevel="0" collapsed="false">
      <c r="A13" s="9" t="n">
        <v>9</v>
      </c>
      <c r="B13" s="9" t="s">
        <v>1240</v>
      </c>
      <c r="C13" s="9" t="s">
        <v>1241</v>
      </c>
      <c r="D13" s="9" t="s">
        <v>1242</v>
      </c>
      <c r="E13" s="9" t="s">
        <v>1220</v>
      </c>
      <c r="F13" s="9"/>
      <c r="G13" s="9" t="s">
        <v>19</v>
      </c>
      <c r="H13" s="9"/>
      <c r="I13" s="9"/>
      <c r="J13" s="9"/>
    </row>
    <row r="14" customFormat="false" ht="22.35" hidden="false" customHeight="false" outlineLevel="0" collapsed="false">
      <c r="A14" s="10" t="n">
        <v>10</v>
      </c>
      <c r="B14" s="10" t="s">
        <v>1243</v>
      </c>
      <c r="C14" s="10" t="s">
        <v>1244</v>
      </c>
      <c r="D14" s="10" t="s">
        <v>1245</v>
      </c>
      <c r="E14" s="10" t="s">
        <v>1220</v>
      </c>
      <c r="F14" s="10"/>
      <c r="G14" s="10" t="s">
        <v>19</v>
      </c>
      <c r="H14" s="10"/>
      <c r="I14" s="10"/>
      <c r="J14" s="10"/>
    </row>
    <row r="15" customFormat="false" ht="22.35" hidden="false" customHeight="false" outlineLevel="0" collapsed="false">
      <c r="A15" s="9" t="n">
        <v>11</v>
      </c>
      <c r="B15" s="9" t="s">
        <v>1246</v>
      </c>
      <c r="C15" s="9" t="s">
        <v>1247</v>
      </c>
      <c r="D15" s="9" t="s">
        <v>1248</v>
      </c>
      <c r="E15" s="9" t="s">
        <v>1220</v>
      </c>
      <c r="F15" s="9"/>
      <c r="G15" s="9" t="s">
        <v>19</v>
      </c>
      <c r="H15" s="9"/>
      <c r="I15" s="9"/>
      <c r="J15" s="9"/>
    </row>
    <row r="16" customFormat="false" ht="22.35" hidden="false" customHeight="false" outlineLevel="0" collapsed="false">
      <c r="A16" s="10" t="n">
        <v>12</v>
      </c>
      <c r="B16" s="10" t="s">
        <v>1249</v>
      </c>
      <c r="C16" s="10" t="s">
        <v>1250</v>
      </c>
      <c r="D16" s="10" t="s">
        <v>1251</v>
      </c>
      <c r="E16" s="10" t="s">
        <v>1220</v>
      </c>
      <c r="F16" s="10"/>
      <c r="G16" s="10" t="s">
        <v>19</v>
      </c>
      <c r="H16" s="10"/>
      <c r="I16" s="10"/>
      <c r="J16" s="10"/>
    </row>
    <row r="17" customFormat="false" ht="22.35" hidden="false" customHeight="false" outlineLevel="0" collapsed="false">
      <c r="A17" s="9" t="n">
        <v>13</v>
      </c>
      <c r="B17" s="9" t="s">
        <v>1252</v>
      </c>
      <c r="C17" s="9" t="s">
        <v>1253</v>
      </c>
      <c r="D17" s="9" t="s">
        <v>1254</v>
      </c>
      <c r="E17" s="9" t="s">
        <v>1220</v>
      </c>
      <c r="F17" s="9"/>
      <c r="G17" s="9" t="s">
        <v>19</v>
      </c>
      <c r="H17" s="9"/>
      <c r="I17" s="9"/>
      <c r="J17" s="9"/>
    </row>
    <row r="18" customFormat="false" ht="22.35" hidden="false" customHeight="false" outlineLevel="0" collapsed="false">
      <c r="A18" s="10" t="n">
        <v>14</v>
      </c>
      <c r="B18" s="10" t="s">
        <v>1255</v>
      </c>
      <c r="C18" s="10" t="s">
        <v>1256</v>
      </c>
      <c r="D18" s="10" t="s">
        <v>1257</v>
      </c>
      <c r="E18" s="10" t="s">
        <v>1220</v>
      </c>
      <c r="F18" s="10"/>
      <c r="G18" s="10" t="s">
        <v>19</v>
      </c>
      <c r="H18" s="10"/>
      <c r="I18" s="10"/>
      <c r="J18" s="10"/>
    </row>
    <row r="19" customFormat="false" ht="12.8" hidden="false" customHeight="false" outlineLevel="0" collapsed="false">
      <c r="A19" s="9" t="n">
        <v>15</v>
      </c>
      <c r="B19" s="9" t="s">
        <v>1258</v>
      </c>
      <c r="C19" s="9" t="s">
        <v>1259</v>
      </c>
      <c r="D19" s="9" t="s">
        <v>1260</v>
      </c>
      <c r="E19" s="9" t="s">
        <v>1220</v>
      </c>
      <c r="F19" s="9"/>
      <c r="G19" s="9" t="s">
        <v>19</v>
      </c>
      <c r="H19" s="9"/>
      <c r="I19" s="9"/>
      <c r="J19" s="9"/>
    </row>
    <row r="20" customFormat="false" ht="22.35" hidden="false" customHeight="false" outlineLevel="0" collapsed="false">
      <c r="A20" s="10" t="n">
        <v>16</v>
      </c>
      <c r="B20" s="10" t="s">
        <v>1261</v>
      </c>
      <c r="C20" s="10" t="s">
        <v>1262</v>
      </c>
      <c r="D20" s="10" t="s">
        <v>1263</v>
      </c>
      <c r="E20" s="10" t="s">
        <v>1220</v>
      </c>
      <c r="F20" s="10"/>
      <c r="G20" s="10" t="s">
        <v>19</v>
      </c>
      <c r="H20" s="10"/>
      <c r="I20" s="10"/>
      <c r="J20" s="10"/>
    </row>
  </sheetData>
  <mergeCells count="2">
    <mergeCell ref="A1:J1"/>
    <mergeCell ref="A2:J2"/>
  </mergeCells>
  <dataValidations count="1">
    <dataValidation allowBlank="true" error="Pilih nilai yang tersedia untuk status gate." errorStyle="stop" errorTitle="Pilihan tidak valid" operator="equal" showDropDown="false" showErrorMessage="true" showInputMessage="false" sqref="G5:G20" type="list">
      <formula1>$referensi.$a$2:$A$6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25"/>
    <col collapsed="false" customWidth="true" hidden="false" outlineLevel="0" max="4" min="2" style="0" width="9.69"/>
    <col collapsed="false" customWidth="true" hidden="false" outlineLevel="0" max="5" min="5" style="0" width="12.75"/>
    <col collapsed="false" customWidth="true" hidden="false" outlineLevel="0" max="6" min="6" style="0" width="15.31"/>
    <col collapsed="false" customWidth="true" hidden="false" outlineLevel="0" max="7" min="7" style="0" width="21.94"/>
    <col collapsed="false" customWidth="true" hidden="false" outlineLevel="0" max="8" min="8" style="0" width="30.62"/>
  </cols>
  <sheetData>
    <row r="1" customFormat="false" ht="29.75" hidden="false" customHeight="true" outlineLevel="0" collapsed="false">
      <c r="A1" s="1" t="s">
        <v>1264</v>
      </c>
      <c r="B1" s="1"/>
      <c r="C1" s="1"/>
      <c r="D1" s="1"/>
      <c r="E1" s="1"/>
      <c r="F1" s="1"/>
      <c r="G1" s="1"/>
      <c r="H1" s="1"/>
    </row>
    <row r="3" customFormat="false" ht="29.75" hidden="false" customHeight="true" outlineLevel="0" collapsed="false">
      <c r="A3" s="8" t="s">
        <v>1265</v>
      </c>
      <c r="B3" s="8" t="s">
        <v>1131</v>
      </c>
      <c r="C3" s="8" t="s">
        <v>46</v>
      </c>
      <c r="D3" s="8" t="s">
        <v>1130</v>
      </c>
      <c r="E3" s="8" t="s">
        <v>1266</v>
      </c>
      <c r="F3" s="8" t="s">
        <v>1267</v>
      </c>
      <c r="G3" s="8" t="s">
        <v>1268</v>
      </c>
      <c r="H3" s="8" t="s">
        <v>1269</v>
      </c>
    </row>
    <row r="4" customFormat="false" ht="53.7" hidden="false" customHeight="false" outlineLevel="0" collapsed="false">
      <c r="A4" s="9" t="s">
        <v>19</v>
      </c>
      <c r="B4" s="9" t="s">
        <v>61</v>
      </c>
      <c r="C4" s="9" t="s">
        <v>102</v>
      </c>
      <c r="D4" s="9" t="s">
        <v>61</v>
      </c>
      <c r="E4" s="9" t="s">
        <v>1136</v>
      </c>
      <c r="F4" s="9" t="s">
        <v>1188</v>
      </c>
      <c r="G4" s="9" t="s">
        <v>1270</v>
      </c>
      <c r="H4" s="9" t="s">
        <v>1271</v>
      </c>
    </row>
    <row r="5" customFormat="false" ht="64.15" hidden="false" customHeight="false" outlineLevel="0" collapsed="false">
      <c r="A5" s="10" t="s">
        <v>16</v>
      </c>
      <c r="B5" s="10" t="s">
        <v>71</v>
      </c>
      <c r="C5" s="10" t="s">
        <v>63</v>
      </c>
      <c r="D5" s="10" t="s">
        <v>71</v>
      </c>
      <c r="E5" s="10" t="s">
        <v>1272</v>
      </c>
      <c r="F5" s="10" t="s">
        <v>1273</v>
      </c>
      <c r="G5" s="10" t="s">
        <v>1274</v>
      </c>
      <c r="H5" s="10" t="s">
        <v>1275</v>
      </c>
    </row>
    <row r="6" customFormat="false" ht="32.8" hidden="false" customHeight="false" outlineLevel="0" collapsed="false">
      <c r="A6" s="9" t="s">
        <v>17</v>
      </c>
      <c r="B6" s="9" t="s">
        <v>78</v>
      </c>
      <c r="C6" s="9" t="s">
        <v>86</v>
      </c>
      <c r="D6" s="9" t="s">
        <v>78</v>
      </c>
      <c r="E6" s="9" t="s">
        <v>1276</v>
      </c>
      <c r="F6" s="9" t="s">
        <v>1277</v>
      </c>
      <c r="G6" s="9" t="s">
        <v>1278</v>
      </c>
      <c r="H6" s="9" t="s">
        <v>1279</v>
      </c>
    </row>
    <row r="7" customFormat="false" ht="43.25" hidden="false" customHeight="false" outlineLevel="0" collapsed="false">
      <c r="A7" s="10" t="s">
        <v>18</v>
      </c>
      <c r="B7" s="10" t="s">
        <v>919</v>
      </c>
      <c r="C7" s="10"/>
      <c r="D7" s="10" t="s">
        <v>919</v>
      </c>
      <c r="E7" s="10" t="s">
        <v>1280</v>
      </c>
      <c r="F7" s="10" t="s">
        <v>20</v>
      </c>
      <c r="G7" s="10" t="s">
        <v>1281</v>
      </c>
      <c r="H7" s="10" t="s">
        <v>1282</v>
      </c>
    </row>
    <row r="8" customFormat="false" ht="43.25" hidden="false" customHeight="false" outlineLevel="0" collapsed="false">
      <c r="A8" s="9" t="s">
        <v>20</v>
      </c>
      <c r="B8" s="9"/>
      <c r="C8" s="9"/>
      <c r="D8" s="9"/>
      <c r="E8" s="9" t="s">
        <v>1283</v>
      </c>
      <c r="F8" s="9"/>
      <c r="G8" s="9" t="s">
        <v>1284</v>
      </c>
      <c r="H8" s="9" t="s">
        <v>1285</v>
      </c>
    </row>
    <row r="9" customFormat="false" ht="43.25" hidden="false" customHeight="false" outlineLevel="0" collapsed="false">
      <c r="A9" s="10"/>
      <c r="B9" s="10"/>
      <c r="C9" s="10"/>
      <c r="D9" s="10"/>
      <c r="E9" s="10" t="s">
        <v>1286</v>
      </c>
      <c r="F9" s="10"/>
      <c r="G9" s="10" t="s">
        <v>1287</v>
      </c>
      <c r="H9" s="10" t="s">
        <v>1288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2026-08-11T10:37:45Z</dcterms:modified>
  <cp:revision>1</cp:revision>
  <dc:subject/>
  <dc:title>Multimedia Project Acceptance</dc:title>
</cp:coreProperties>
</file>